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liveuwstout-my.sharepoint.com/personal/pateld3680_my_uwstout_edu/Documents/Documents/work/"/>
    </mc:Choice>
  </mc:AlternateContent>
  <xr:revisionPtr revIDLastSave="0" documentId="8_{A3C16D4B-E5BB-410C-BA10-AE669C14B74C}" xr6:coauthVersionLast="47" xr6:coauthVersionMax="47" xr10:uidLastSave="{00000000-0000-0000-0000-000000000000}"/>
  <bookViews>
    <workbookView xWindow="-110" yWindow="-110" windowWidth="19420" windowHeight="10300" firstSheet="3" activeTab="7" xr2:uid="{00000000-000D-0000-FFFF-FFFF00000000}"/>
  </bookViews>
  <sheets>
    <sheet name="Activity Data" sheetId="3" r:id="rId1"/>
    <sheet name="Emission Factors" sheetId="4" r:id="rId2"/>
    <sheet name="Assumptions" sheetId="5" r:id="rId3"/>
    <sheet name="Scope 1" sheetId="6" r:id="rId4"/>
    <sheet name="Scope 2" sheetId="7" r:id="rId5"/>
    <sheet name="Scope 3 " sheetId="8" r:id="rId6"/>
    <sheet name="GHG Inventory Summary" sheetId="9" r:id="rId7"/>
    <sheet name="Dashboard" sheetId="11" r:id="rId8"/>
  </sheets>
  <definedNames>
    <definedName name="Slicer_Scop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9" l="1" a="1"/>
  <c r="J5" i="9" s="1"/>
  <c r="C5" i="9" a="1"/>
  <c r="C5" i="9" s="1"/>
  <c r="J3" i="9"/>
  <c r="C3" i="9"/>
  <c r="N10" i="11"/>
  <c r="N11" i="11" s="1"/>
  <c r="Y6" i="9"/>
  <c r="AA5" i="9"/>
  <c r="AB5" i="9" s="1"/>
  <c r="AA4" i="9"/>
  <c r="AB4" i="9" s="1"/>
  <c r="AA3" i="9"/>
  <c r="Q10" i="9"/>
  <c r="Q11" i="9"/>
  <c r="Q9" i="9"/>
  <c r="C8" i="9"/>
  <c r="C10" i="9" s="1"/>
  <c r="C7" i="9"/>
  <c r="C9" i="9" s="1"/>
  <c r="E4" i="6"/>
  <c r="C4" i="6"/>
  <c r="F19" i="8"/>
  <c r="E19" i="8"/>
  <c r="G19" i="8" s="1"/>
  <c r="D15" i="8"/>
  <c r="E15" i="8" s="1"/>
  <c r="C13" i="9" s="1" a="1"/>
  <c r="C13" i="9" s="1"/>
  <c r="J9" i="9" s="1"/>
  <c r="I9" i="8"/>
  <c r="K9" i="8" s="1"/>
  <c r="O9" i="8" s="1"/>
  <c r="H8" i="8"/>
  <c r="J8" i="8" s="1"/>
  <c r="O8" i="8" s="1"/>
  <c r="G7" i="8"/>
  <c r="O7" i="8" s="1"/>
  <c r="D3" i="8"/>
  <c r="F3" i="8" s="1"/>
  <c r="G3" i="8" s="1"/>
  <c r="C11" i="9" s="1" a="1"/>
  <c r="C11" i="9" s="1"/>
  <c r="B9" i="7"/>
  <c r="B10" i="7"/>
  <c r="K7" i="7"/>
  <c r="J7" i="7"/>
  <c r="I7" i="7"/>
  <c r="D7" i="3"/>
  <c r="D3" i="7"/>
  <c r="F3" i="7" s="1"/>
  <c r="H3" i="7" s="1"/>
  <c r="I3" i="7" s="1"/>
  <c r="J3" i="7" s="1"/>
  <c r="F9" i="6"/>
  <c r="H9" i="6" s="1"/>
  <c r="I9" i="6" s="1"/>
  <c r="F7" i="6"/>
  <c r="H7" i="6" s="1"/>
  <c r="I7" i="6" s="1"/>
  <c r="D19" i="6"/>
  <c r="E19" i="6" s="1"/>
  <c r="D12" i="6"/>
  <c r="F12" i="6" s="1"/>
  <c r="G12" i="6" s="1"/>
  <c r="E2" i="6"/>
  <c r="J7" i="9" l="1" a="1"/>
  <c r="J7" i="9" s="1"/>
  <c r="L19" i="8"/>
  <c r="O19" i="8" s="1"/>
  <c r="K19" i="8"/>
  <c r="N19" i="8" s="1"/>
  <c r="M19" i="8"/>
  <c r="P19" i="8" s="1"/>
  <c r="N12" i="11"/>
  <c r="Q12" i="9"/>
  <c r="AA6" i="9"/>
  <c r="J6" i="9"/>
  <c r="Y10" i="9"/>
  <c r="Y11" i="9" s="1"/>
  <c r="AB3" i="9"/>
  <c r="AB6" i="9" s="1"/>
  <c r="Y12" i="9"/>
  <c r="B15" i="6"/>
  <c r="C4" i="9" s="1"/>
  <c r="J4" i="9" s="1"/>
  <c r="H12" i="6"/>
  <c r="B11" i="8"/>
  <c r="C12" i="9" s="1"/>
  <c r="J8" i="9" s="1"/>
  <c r="F2" i="6"/>
  <c r="J2" i="9" l="1"/>
  <c r="C2" i="9"/>
  <c r="C6" i="9" s="1"/>
  <c r="B21" i="8"/>
  <c r="C14" i="9" s="1"/>
  <c r="J10" i="9" s="1"/>
  <c r="F4" i="6"/>
  <c r="C15" i="9" l="1"/>
  <c r="C16" i="9" s="1"/>
  <c r="C17" i="9" l="1"/>
  <c r="D5" i="9"/>
  <c r="P5" i="9"/>
  <c r="D12" i="9"/>
  <c r="D2" i="9"/>
  <c r="K6" i="9"/>
  <c r="K9" i="9"/>
  <c r="D4" i="9"/>
  <c r="D3" i="9"/>
  <c r="D11" i="9"/>
  <c r="D13" i="9"/>
  <c r="K2" i="9"/>
  <c r="D14" i="9"/>
  <c r="K4" i="9"/>
  <c r="D8" i="9"/>
  <c r="K8" i="9"/>
  <c r="D7" i="9"/>
  <c r="K5" i="9"/>
  <c r="K3" i="9"/>
  <c r="K10" i="9"/>
  <c r="K7" i="9"/>
  <c r="E8" i="9"/>
  <c r="E13" i="9"/>
  <c r="Q3" i="9"/>
  <c r="Q4" i="9"/>
  <c r="Q2" i="9"/>
  <c r="E5" i="9" l="1"/>
  <c r="E3" i="9"/>
  <c r="L7" i="9"/>
  <c r="L6" i="9"/>
  <c r="E14" i="9"/>
  <c r="E11" i="9"/>
  <c r="E7" i="9"/>
  <c r="E2" i="9"/>
  <c r="E12" i="9"/>
  <c r="L8" i="9"/>
  <c r="L10" i="9"/>
  <c r="L9" i="9"/>
  <c r="L5" i="9"/>
  <c r="L4" i="9"/>
  <c r="L2" i="9"/>
  <c r="L3" i="9"/>
  <c r="E4" i="9"/>
  <c r="Q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<sst xmlns="http://schemas.openxmlformats.org/spreadsheetml/2006/main" count="517" uniqueCount="290">
  <si>
    <t>Scope 1</t>
  </si>
  <si>
    <t>Scope 2</t>
  </si>
  <si>
    <t>Scope 3</t>
  </si>
  <si>
    <t>Emission Factor</t>
  </si>
  <si>
    <t>Month</t>
  </si>
  <si>
    <t>Scope</t>
  </si>
  <si>
    <t>Unit</t>
  </si>
  <si>
    <t xml:space="preserve">Total </t>
  </si>
  <si>
    <t>Kg CO2e / 1000 = metric tons CO2e</t>
  </si>
  <si>
    <t>Column</t>
  </si>
  <si>
    <t>Purpose</t>
  </si>
  <si>
    <t>Source</t>
  </si>
  <si>
    <t>Natural gas, gasoline, electricity, etc.</t>
  </si>
  <si>
    <t>Scope 1/2/3</t>
  </si>
  <si>
    <t>Category</t>
  </si>
  <si>
    <t>Stationary combustion, mobile combustion, etc.</t>
  </si>
  <si>
    <t>Activity Unit</t>
  </si>
  <si>
    <t>therm, gallon, kWh, etc.</t>
  </si>
  <si>
    <t>Numerical factor</t>
  </si>
  <si>
    <t>Factor Unit</t>
  </si>
  <si>
    <t>Source Organization</t>
  </si>
  <si>
    <t>EPA</t>
  </si>
  <si>
    <t>Source Document</t>
  </si>
  <si>
    <t>Factor Year</t>
  </si>
  <si>
    <t>Notes</t>
  </si>
  <si>
    <t>Any assumptions</t>
  </si>
  <si>
    <t>Formulas:</t>
  </si>
  <si>
    <t>Year</t>
  </si>
  <si>
    <t>Item</t>
  </si>
  <si>
    <t>Assumption</t>
  </si>
  <si>
    <t>Reporting year</t>
  </si>
  <si>
    <t>Organizational approach</t>
  </si>
  <si>
    <t>Operational control</t>
  </si>
  <si>
    <t>Company</t>
  </si>
  <si>
    <t>GreenTech Manufacturing, Inc.</t>
  </si>
  <si>
    <t>Facility</t>
  </si>
  <si>
    <t>1 U.S. manufacturing facility</t>
  </si>
  <si>
    <t>Emission factor source</t>
  </si>
  <si>
    <t>GHG reporting unit</t>
  </si>
  <si>
    <t>metric tons CO₂e</t>
  </si>
  <si>
    <t>Total</t>
  </si>
  <si>
    <t>Quantity</t>
  </si>
  <si>
    <t>gallons</t>
  </si>
  <si>
    <t>Gasoline - company vehicles</t>
  </si>
  <si>
    <t>Diesel - company vehicles</t>
  </si>
  <si>
    <t>Fuel</t>
  </si>
  <si>
    <t>Gasoline</t>
  </si>
  <si>
    <t>Diesel</t>
  </si>
  <si>
    <t>Vehicles</t>
  </si>
  <si>
    <t>Truck</t>
  </si>
  <si>
    <t>Quantity (gal)</t>
  </si>
  <si>
    <t>GHG Emission Factors Hub (stationary and mobile combustion factors)</t>
  </si>
  <si>
    <t>Boiler</t>
  </si>
  <si>
    <t>Equipment</t>
  </si>
  <si>
    <t>Quantity (therms)</t>
  </si>
  <si>
    <t>Therms to MMBtu</t>
  </si>
  <si>
    <t>Emissions (tCO2)</t>
  </si>
  <si>
    <t xml:space="preserve">Natural Gas </t>
  </si>
  <si>
    <t>Refrigerent (chemical)</t>
  </si>
  <si>
    <t>R-410A</t>
  </si>
  <si>
    <t>Emissions (Kg CO2e)</t>
  </si>
  <si>
    <t>Emissions (tCO2e)</t>
  </si>
  <si>
    <t>Stationary Combustion</t>
  </si>
  <si>
    <t>Formulas</t>
  </si>
  <si>
    <t xml:space="preserve">Fuel </t>
  </si>
  <si>
    <t>Emission factor (g CH4/mmBtu)</t>
  </si>
  <si>
    <t>Natural Gas (N2O)</t>
  </si>
  <si>
    <t>Natural Gas (CH4)</t>
  </si>
  <si>
    <t>Emissions Factor (GWP)</t>
  </si>
  <si>
    <t>(carbon dioxide is the reference gas so GWP is 1)</t>
  </si>
  <si>
    <t>Electricity use</t>
  </si>
  <si>
    <t>kWh</t>
  </si>
  <si>
    <t>Purchased electricity Green-Tech facility</t>
  </si>
  <si>
    <t>599.17 lb CO2e/MWh</t>
  </si>
  <si>
    <t>RFCE subregion - EPA's eGRID 2023 Summary Tables list</t>
  </si>
  <si>
    <t xml:space="preserve">Year </t>
  </si>
  <si>
    <t xml:space="preserve">Annual </t>
  </si>
  <si>
    <t>Emission Factor  (lb CO2e / MWh)</t>
  </si>
  <si>
    <t>MWh</t>
  </si>
  <si>
    <t>Electricity use (MWh)</t>
  </si>
  <si>
    <t>Emissions (lb CO2e)</t>
  </si>
  <si>
    <t>Electricity use (total)</t>
  </si>
  <si>
    <t xml:space="preserve">Market-based: </t>
  </si>
  <si>
    <t>Location-based:</t>
  </si>
  <si>
    <t>Renewable Energy Certif (RECs)-covered</t>
  </si>
  <si>
    <t>Not-RECs covered</t>
  </si>
  <si>
    <t>N/A</t>
  </si>
  <si>
    <t>Average Grid emissions</t>
  </si>
  <si>
    <t>Qualifying contractual electricity choices</t>
  </si>
  <si>
    <t xml:space="preserve">Location-based </t>
  </si>
  <si>
    <t>Market-based</t>
  </si>
  <si>
    <r>
      <t>Location-based:</t>
    </r>
    <r>
      <rPr>
        <sz val="11"/>
        <color theme="1"/>
        <rFont val="Calibri"/>
        <family val="2"/>
        <scheme val="minor"/>
      </rPr>
      <t xml:space="preserve"> What emissions are associated with the average electricity grid serving the facility?</t>
    </r>
  </si>
  <si>
    <r>
      <t>Market-based:</t>
    </r>
    <r>
      <rPr>
        <sz val="11"/>
        <color theme="1"/>
        <rFont val="Calibri"/>
        <family val="2"/>
        <scheme val="minor"/>
      </rPr>
      <t xml:space="preserve"> What emissions are associated with the electricity supply choices/contracts the company has made?</t>
    </r>
  </si>
  <si>
    <t>Employees</t>
  </si>
  <si>
    <t>Total employee-commuting miles (year)</t>
  </si>
  <si>
    <t xml:space="preserve">Mode </t>
  </si>
  <si>
    <t>Commercial air travel</t>
  </si>
  <si>
    <t>Activity (passenger-miles)</t>
  </si>
  <si>
    <t>Flight distance</t>
  </si>
  <si>
    <t>medium-haul (&gt;= 300 miles, &lt; 2300 miles)</t>
  </si>
  <si>
    <t>g CH4/ passenger-mile</t>
  </si>
  <si>
    <t xml:space="preserve">g N2O/ passenger-mile </t>
  </si>
  <si>
    <t>Emissions (g CH4)</t>
  </si>
  <si>
    <t xml:space="preserve">Emissions (g N2O) </t>
  </si>
  <si>
    <t>GWP (CH4)</t>
  </si>
  <si>
    <t>GWP (N2O)</t>
  </si>
  <si>
    <t>Emission factor (g N2O/mmBtu)</t>
  </si>
  <si>
    <t>GWP (CO2)</t>
  </si>
  <si>
    <t xml:space="preserve">Good </t>
  </si>
  <si>
    <t>Aluminum</t>
  </si>
  <si>
    <t>Category 1: Purchased Goods &amp; Services</t>
  </si>
  <si>
    <t>Category 6: Business Travel</t>
  </si>
  <si>
    <t>Category 7: Employee Commute</t>
  </si>
  <si>
    <t>Category 4: Upstream Transportation &amp; Distribution</t>
  </si>
  <si>
    <t>Good</t>
  </si>
  <si>
    <t>diesel freight truck</t>
  </si>
  <si>
    <t>Quantity (short ton)</t>
  </si>
  <si>
    <t>Distance (miles)</t>
  </si>
  <si>
    <t>Activity unit (short ton-miles)</t>
  </si>
  <si>
    <t>Emissions (Kg CO2e)2</t>
  </si>
  <si>
    <t>Emissions (Kg CO2e)3</t>
  </si>
  <si>
    <t>Emissions Source</t>
  </si>
  <si>
    <t>Scope 1 Total</t>
  </si>
  <si>
    <t>Scope 3 Total</t>
  </si>
  <si>
    <t>Gasoline Trucks</t>
  </si>
  <si>
    <t xml:space="preserve">Diesel Trucks </t>
  </si>
  <si>
    <t>Natural Gas (boiler)</t>
  </si>
  <si>
    <t>Location-based (Grid)</t>
  </si>
  <si>
    <t xml:space="preserve">Market-based (contractual ) </t>
  </si>
  <si>
    <t>Employee commute</t>
  </si>
  <si>
    <t>Business Travel</t>
  </si>
  <si>
    <t>Aluminum (diesel frieght truck)</t>
  </si>
  <si>
    <t>Scope 2 Total (Location)</t>
  </si>
  <si>
    <t>Scope 2 Total (Market)</t>
  </si>
  <si>
    <t>Total GHG Emissions (Market)</t>
  </si>
  <si>
    <t>Total GHG Emissions (Location)</t>
  </si>
  <si>
    <r>
      <rPr>
        <b/>
        <sz val="11"/>
        <color theme="1"/>
        <rFont val="Calibri"/>
        <family val="2"/>
        <scheme val="minor"/>
      </rPr>
      <t>% of Total Emissions</t>
    </r>
    <r>
      <rPr>
        <sz val="11"/>
        <color theme="1"/>
        <rFont val="Calibri"/>
        <family val="2"/>
        <scheme val="minor"/>
      </rPr>
      <t xml:space="preserve"> </t>
    </r>
  </si>
  <si>
    <t>Emissions (tCO₂e)</t>
  </si>
  <si>
    <t>% of Total</t>
  </si>
  <si>
    <t>Scope 2 (Location-based)</t>
  </si>
  <si>
    <t>Scope 2 (market-based)</t>
  </si>
  <si>
    <t>Reduction Target</t>
  </si>
  <si>
    <t>Natural Gas Boiler</t>
  </si>
  <si>
    <t>Metric</t>
  </si>
  <si>
    <t>Original emissions</t>
  </si>
  <si>
    <t>Total emissions avoided</t>
  </si>
  <si>
    <t>Projected emissions</t>
  </si>
  <si>
    <t>Overall reduction</t>
  </si>
  <si>
    <t>Scenario</t>
  </si>
  <si>
    <t>Baseline</t>
  </si>
  <si>
    <t>After 20% reductions</t>
  </si>
  <si>
    <t>GreenTech Manufacturing - GHG Emissions Dashboard</t>
  </si>
  <si>
    <t>GHG Inventory Overview</t>
  </si>
  <si>
    <t>Grand Total</t>
  </si>
  <si>
    <t>Aluminum (Diesel Frieght Truck)</t>
  </si>
  <si>
    <t>Refrigerent (Chemical)</t>
  </si>
  <si>
    <t>Natural Gas (Boiler)</t>
  </si>
  <si>
    <t>Result (tCO2e)</t>
  </si>
  <si>
    <t>Emission Sources</t>
  </si>
  <si>
    <t>therms</t>
  </si>
  <si>
    <t>Organizational boundary</t>
  </si>
  <si>
    <t>Reporting period</t>
  </si>
  <si>
    <t>2025 calendar year is used for the annual GHG inventory.</t>
  </si>
  <si>
    <t>GHG coverage</t>
  </si>
  <si>
    <t>Global warming potentials</t>
  </si>
  <si>
    <t>Natural gas is assumed to be combusted at a GreenTech-controlled facility.</t>
  </si>
  <si>
    <t>Gasoline and diesel consumed by company-owned/controlled vehicles are classified as Scope 1.</t>
  </si>
  <si>
    <t>Refrigerant emissions represent a direct fugitive emission from GreenTech-controlled equipment.</t>
  </si>
  <si>
    <t>Purchased electricity is classified as Scope 2.</t>
  </si>
  <si>
    <t>Location-based emissions use the applicable regional grid-average emission factor.</t>
  </si>
  <si>
    <t>Market-based emissions use the contractual/purchased electricity information available for the example.</t>
  </si>
  <si>
    <t>RECs</t>
  </si>
  <si>
    <t>200 MWh of electricity is assumed to be covered by renewable energy certificates (RECs).</t>
  </si>
  <si>
    <t>Employee commuting is treated as Scope 3 Category 7.</t>
  </si>
  <si>
    <t>Employee business travel is treated as Scope 3 Category 6.</t>
  </si>
  <si>
    <t>Aluminum used in company components is treated as Scope 3 Category 1.</t>
  </si>
  <si>
    <t>Supplier-to-GreenTech transportation is treated as Scope 3 Category 4 (Upstream Transportation and Distribution).</t>
  </si>
  <si>
    <t>Unit conversion</t>
  </si>
  <si>
    <t>Electricity: 1 MWh = 1,000 kWh.</t>
  </si>
  <si>
    <t>1 metric tonne = 1,000 kg.</t>
  </si>
  <si>
    <t>Data limitation</t>
  </si>
  <si>
    <t>Where company-specific activity data or emission factors were unavailable, representative published factors were used for the demonstration inventory.</t>
  </si>
  <si>
    <t>CO2, CH4, and N2O are included where applicable.</t>
  </si>
  <si>
    <t>CH4 = 28 and N2O = 265; CO2 = 1.</t>
  </si>
  <si>
    <t>Emissions are ultimately reported as metric tonnes CO2e (tCO2e).</t>
  </si>
  <si>
    <t>Scope 3 - freight</t>
  </si>
  <si>
    <t>Scope 3 - purchased aluminum</t>
  </si>
  <si>
    <t>Scope 1 - natural gas</t>
  </si>
  <si>
    <t>Scope 1 - vehicles</t>
  </si>
  <si>
    <t>Scope 1 - refrigerant</t>
  </si>
  <si>
    <t>Scope 2 - electricity</t>
  </si>
  <si>
    <t>Scope 2 - location-based</t>
  </si>
  <si>
    <t>Scope 2 - market-based</t>
  </si>
  <si>
    <t>Scope 3 - commuting</t>
  </si>
  <si>
    <t>Scope 3 - business travel</t>
  </si>
  <si>
    <t>GreenTech uses an operational-control approach. Emissions from facilities and vehicles directly owned/controlled by GreenTech are included in Scope 1.</t>
  </si>
  <si>
    <t>Emission Source</t>
  </si>
  <si>
    <t>GHG</t>
  </si>
  <si>
    <t>Natural gas</t>
  </si>
  <si>
    <t>Refrigerant</t>
  </si>
  <si>
    <t>GWP 2,088</t>
  </si>
  <si>
    <t>Purchased electricity</t>
  </si>
  <si>
    <t>EPA eGRID 2023 RFC(E)</t>
  </si>
  <si>
    <t>Scope 3 Cat. 6</t>
  </si>
  <si>
    <t>Business travel – medium haul</t>
  </si>
  <si>
    <t>Scope 3 Cat. 1</t>
  </si>
  <si>
    <t>15–16</t>
  </si>
  <si>
    <t>IAI / Carbon Chain</t>
  </si>
  <si>
    <t>Scope 3 Cat. 4</t>
  </si>
  <si>
    <t>Medium/heavy truck</t>
  </si>
  <si>
    <t>Therms = mmBtu</t>
  </si>
  <si>
    <t xml:space="preserve">1 = 0.1 </t>
  </si>
  <si>
    <t>1000 = 1</t>
  </si>
  <si>
    <t>1 = 1000</t>
  </si>
  <si>
    <t xml:space="preserve">Kg = lbs </t>
  </si>
  <si>
    <t>1 = 2.20462</t>
  </si>
  <si>
    <t xml:space="preserve">Conversions </t>
  </si>
  <si>
    <t>Column1</t>
  </si>
  <si>
    <t>R-410A a 100-year GWP = 2088</t>
  </si>
  <si>
    <t>CO2 a 100-year GWP = 1</t>
  </si>
  <si>
    <t>Kg = tCO2 or Kg CO2e = tCO2e</t>
  </si>
  <si>
    <t xml:space="preserve">EPA GHG Emission Factors Hub </t>
  </si>
  <si>
    <t>GHG Reduction Scenario: 20%</t>
  </si>
  <si>
    <t xml:space="preserve">Each commute per day </t>
  </si>
  <si>
    <t>miles</t>
  </si>
  <si>
    <t>Working Days</t>
  </si>
  <si>
    <t xml:space="preserve">Scope </t>
  </si>
  <si>
    <t>Scope 3 (Category 7)</t>
  </si>
  <si>
    <t>Scope 3 (Category 6)</t>
  </si>
  <si>
    <t>Commercial Air Travel</t>
  </si>
  <si>
    <t>Activity</t>
  </si>
  <si>
    <t>passenger-miles</t>
  </si>
  <si>
    <t>Flight Distance</t>
  </si>
  <si>
    <t>Scope 3 (Category 1)</t>
  </si>
  <si>
    <t xml:space="preserve">Quantity </t>
  </si>
  <si>
    <t>Scope 3 (Category 4)</t>
  </si>
  <si>
    <t xml:space="preserve">Unit </t>
  </si>
  <si>
    <t xml:space="preserve">Distance </t>
  </si>
  <si>
    <t>Diesel freight truck</t>
  </si>
  <si>
    <t>Kilowatt-hour</t>
  </si>
  <si>
    <t>Megawatt-hour</t>
  </si>
  <si>
    <t>Kilograms</t>
  </si>
  <si>
    <t>Kilometers</t>
  </si>
  <si>
    <t xml:space="preserve">Activity Data * Emission factor = CO2e emissions </t>
  </si>
  <si>
    <t>Current Emissions (tCO2e)</t>
  </si>
  <si>
    <t>Emissions Avoided (tCO2e)</t>
  </si>
  <si>
    <t>Remaining Emissions (tCO2e)</t>
  </si>
  <si>
    <t>Emissions factor (g CH4 / short ton-mile)</t>
  </si>
  <si>
    <t>Emissions factor (g N2O / short ton-mile)</t>
  </si>
  <si>
    <t>Quantity (Kg)</t>
  </si>
  <si>
    <t>Emissions Factor (Kg CO2e/mile)</t>
  </si>
  <si>
    <t>Kg CO2/ passenger-mile</t>
  </si>
  <si>
    <t>Emissions (Kg CO2)</t>
  </si>
  <si>
    <t>Emissions (Kg CH4)</t>
  </si>
  <si>
    <t>Emissions (Kg N2O)</t>
  </si>
  <si>
    <t>Emissions factor (Kg CO2 / short ton-mile)</t>
  </si>
  <si>
    <t>Distance (Km)</t>
  </si>
  <si>
    <t>Emission Factor (Kg CO2e / Kg aluminum)</t>
  </si>
  <si>
    <t>Each commute (Avg miles per workday)</t>
  </si>
  <si>
    <t xml:space="preserve">Working days </t>
  </si>
  <si>
    <t>Emission Factor (Kg CO2e/gal)</t>
  </si>
  <si>
    <t>Emission factor (Kg CO2/mmBtu)</t>
  </si>
  <si>
    <t>GWP Emission Factor (Kg CO2e/Kg R-410A)</t>
  </si>
  <si>
    <t>Total (tCO2e) (CO2, CH4, N2O)</t>
  </si>
  <si>
    <t>CO2</t>
  </si>
  <si>
    <t>CH4</t>
  </si>
  <si>
    <t>N2O</t>
  </si>
  <si>
    <t>CO2e</t>
  </si>
  <si>
    <t>CH4 a 100-year GWP = 28</t>
  </si>
  <si>
    <t>N2O a 100-year GWP = 265</t>
  </si>
  <si>
    <t xml:space="preserve">X Kg CO2e / 1000 = metric tons CO2 </t>
  </si>
  <si>
    <t>Kg R-410A * GWP = Kg CO2</t>
  </si>
  <si>
    <t>g N2O/passenger-mile</t>
  </si>
  <si>
    <t>g CH4/short ton-mile</t>
  </si>
  <si>
    <t>g N2O/short ton-mile</t>
  </si>
  <si>
    <t>g CH4/passenger-mile</t>
  </si>
  <si>
    <t>lb CO2e/MWh</t>
  </si>
  <si>
    <t>Kg CO2/gallon</t>
  </si>
  <si>
    <t>Kg CO2e/Kg refrigerant</t>
  </si>
  <si>
    <t>Kg CO2/passenger-mile</t>
  </si>
  <si>
    <t>Example: No. of Therms * Kg CO2e / therm = X Kg CO2e</t>
  </si>
  <si>
    <t>Kg CH4 * GWP = Kg CO2</t>
  </si>
  <si>
    <t>Kg N2O * GWP = Kg CO2</t>
  </si>
  <si>
    <t>MWh = kWh</t>
  </si>
  <si>
    <t>Kg CO2e/therm etc.</t>
  </si>
  <si>
    <t>g N2O/MMBtu</t>
  </si>
  <si>
    <t>g CH4/MMBtu</t>
  </si>
  <si>
    <t>Kg CO2/MMBtu</t>
  </si>
  <si>
    <t>Kg CO2e/Kg aluminum</t>
  </si>
  <si>
    <t>Kg CO2/short ton-mile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</si>
</sst>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10" x14ac:knownFonts="1">
    <font>
      <sz val="11"/>
      <color theme="1"/>
      <name val="Calibri"/>
      <family val="2"/>
      <scheme val="minor"/>
    </font>
    <font>
      <b/>
      <sz val="11"/>
      <color theme="1"/>
      <name val="Calibri"/>
      <family val="2"/>
      <scheme val="minor"/>
    </font>
    <font>
      <sz val="8"/>
      <name val="Calibri"/>
      <family val="2"/>
      <scheme val="minor"/>
    </font>
    <font>
      <b/>
      <i/>
      <sz val="11"/>
      <color theme="1"/>
      <name val="Calibri"/>
      <family val="2"/>
      <scheme val="minor"/>
    </font>
    <font>
      <b/>
      <sz val="12"/>
      <color theme="1"/>
      <name val="Calibri"/>
      <family val="2"/>
      <scheme val="minor"/>
    </font>
    <font>
      <sz val="10"/>
      <color theme="1"/>
      <name val="Calibri"/>
      <family val="2"/>
      <scheme val="minor"/>
    </font>
    <font>
      <b/>
      <sz val="11"/>
      <color theme="0"/>
      <name val="Calibri"/>
      <family val="2"/>
      <scheme val="minor"/>
    </font>
    <font>
      <b/>
      <sz val="16"/>
      <color theme="1"/>
      <name val="Calibri"/>
      <family val="2"/>
      <scheme val="minor"/>
    </font>
    <font>
      <sz val="14"/>
      <color theme="1"/>
      <name val="Calibri"/>
      <family val="2"/>
      <scheme val="minor"/>
    </font>
    <font>
      <sz val="11"/>
      <name val="Calibri"/>
      <family val="2"/>
      <scheme val="minor"/>
    </font>
  </fonts>
  <fills count="10">
    <fill>
      <patternFill patternType="none"/>
    </fill>
    <fill>
      <patternFill patternType="gray125"/>
    </fill>
    <fill>
      <patternFill patternType="solid">
        <fgColor theme="7"/>
        <bgColor indexed="64"/>
      </patternFill>
    </fill>
    <fill>
      <patternFill patternType="solid">
        <fgColor theme="9"/>
        <bgColor indexed="64"/>
      </patternFill>
    </fill>
    <fill>
      <patternFill patternType="solid">
        <fgColor theme="4"/>
        <bgColor indexed="64"/>
      </patternFill>
    </fill>
    <fill>
      <patternFill patternType="solid">
        <fgColor theme="1"/>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3" tint="0.79998168889431442"/>
        <bgColor indexed="64"/>
      </patternFill>
    </fill>
    <fill>
      <patternFill patternType="solid">
        <fgColor theme="2"/>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47">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vertical="center" wrapText="1"/>
    </xf>
    <xf numFmtId="0" fontId="1" fillId="0" borderId="0" xfId="0" applyFont="1"/>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horizontal="center" vertical="center"/>
    </xf>
    <xf numFmtId="3" fontId="0" fillId="0" borderId="0" xfId="0" applyNumberFormat="1" applyAlignment="1">
      <alignment horizontal="center" vertical="center" wrapText="1"/>
    </xf>
    <xf numFmtId="0" fontId="3" fillId="0" borderId="0" xfId="0" applyFont="1" applyAlignment="1">
      <alignment horizontal="center" vertical="center"/>
    </xf>
    <xf numFmtId="0" fontId="3" fillId="0" borderId="0" xfId="0" applyFont="1"/>
    <xf numFmtId="0" fontId="0" fillId="2" borderId="6" xfId="0" applyFill="1" applyBorder="1"/>
    <xf numFmtId="0" fontId="0" fillId="2" borderId="7" xfId="0" applyFill="1" applyBorder="1"/>
    <xf numFmtId="0" fontId="1" fillId="3" borderId="5" xfId="0" applyFont="1" applyFill="1" applyBorder="1"/>
    <xf numFmtId="2" fontId="1" fillId="3" borderId="5" xfId="0" applyNumberFormat="1" applyFont="1" applyFill="1" applyBorder="1"/>
    <xf numFmtId="1" fontId="1" fillId="0" borderId="0" xfId="0" applyNumberFormat="1" applyFont="1" applyAlignment="1">
      <alignment horizontal="center" vertical="center"/>
    </xf>
    <xf numFmtId="2" fontId="1" fillId="0" borderId="0" xfId="0" applyNumberFormat="1" applyFont="1" applyAlignment="1">
      <alignment horizontal="center" vertical="center"/>
    </xf>
    <xf numFmtId="2" fontId="1" fillId="0" borderId="0" xfId="0" applyNumberFormat="1" applyFont="1" applyAlignment="1">
      <alignment horizontal="center" vertical="center" wrapText="1"/>
    </xf>
    <xf numFmtId="9" fontId="0" fillId="0" borderId="0" xfId="0" applyNumberFormat="1" applyAlignment="1">
      <alignment horizontal="center" vertical="center" wrapText="1"/>
    </xf>
    <xf numFmtId="2" fontId="0" fillId="0" borderId="0" xfId="0" applyNumberFormat="1" applyAlignment="1">
      <alignment horizontal="center" vertical="center" wrapText="1"/>
    </xf>
    <xf numFmtId="2" fontId="0" fillId="0" borderId="0" xfId="0" applyNumberFormat="1" applyAlignment="1">
      <alignment horizontal="center" vertical="center"/>
    </xf>
    <xf numFmtId="0" fontId="0" fillId="0" borderId="0" xfId="0" pivotButton="1"/>
    <xf numFmtId="0" fontId="0" fillId="0" borderId="0" xfId="0" applyAlignment="1">
      <alignment horizontal="left"/>
    </xf>
    <xf numFmtId="0" fontId="5" fillId="0" borderId="0" xfId="0" applyFont="1"/>
    <xf numFmtId="164" fontId="0" fillId="0" borderId="0" xfId="0" applyNumberFormat="1" applyAlignment="1">
      <alignment horizontal="center" vertical="center" wrapText="1"/>
    </xf>
    <xf numFmtId="0" fontId="6" fillId="5" borderId="0" xfId="0" applyFont="1" applyFill="1" applyAlignment="1">
      <alignment horizontal="center" vertical="center" wrapText="1"/>
    </xf>
    <xf numFmtId="0" fontId="0" fillId="6" borderId="0" xfId="0" applyFill="1" applyAlignment="1">
      <alignment horizontal="center" vertical="center" wrapText="1"/>
    </xf>
    <xf numFmtId="0" fontId="0" fillId="6" borderId="0" xfId="0" applyFill="1" applyAlignment="1">
      <alignment vertical="center" wrapText="1"/>
    </xf>
    <xf numFmtId="0" fontId="0" fillId="6" borderId="0" xfId="0" applyFill="1" applyAlignment="1">
      <alignment horizontal="right" vertical="center" wrapText="1"/>
    </xf>
    <xf numFmtId="0" fontId="6" fillId="7" borderId="0" xfId="0" applyFont="1" applyFill="1" applyAlignment="1">
      <alignment horizontal="center" vertical="center" wrapText="1"/>
    </xf>
    <xf numFmtId="0" fontId="0" fillId="8" borderId="0" xfId="0" applyFill="1"/>
    <xf numFmtId="0" fontId="4" fillId="9" borderId="0" xfId="0" applyFont="1" applyFill="1" applyAlignment="1">
      <alignment vertical="center"/>
    </xf>
    <xf numFmtId="0" fontId="0" fillId="9" borderId="0" xfId="0" applyFill="1"/>
    <xf numFmtId="0" fontId="5" fillId="9" borderId="0" xfId="0" applyFont="1" applyFill="1"/>
    <xf numFmtId="0" fontId="9" fillId="0" borderId="8" xfId="0" applyFont="1" applyBorder="1" applyAlignment="1">
      <alignment horizontal="center" vertical="center" wrapText="1"/>
    </xf>
    <xf numFmtId="0" fontId="0" fillId="0" borderId="0" xfId="0" applyAlignment="1">
      <alignment horizontal="center"/>
    </xf>
    <xf numFmtId="0" fontId="0" fillId="0" borderId="5" xfId="0" applyBorder="1" applyAlignment="1">
      <alignment horizontal="center" vertical="center"/>
    </xf>
    <xf numFmtId="0" fontId="4" fillId="0" borderId="0" xfId="0" applyFont="1" applyAlignment="1">
      <alignment horizontal="center" vertical="center"/>
    </xf>
    <xf numFmtId="0" fontId="7" fillId="9" borderId="0" xfId="0" applyFont="1" applyFill="1" applyAlignment="1">
      <alignment vertical="center"/>
    </xf>
    <xf numFmtId="0" fontId="8" fillId="9" borderId="0" xfId="0" applyFont="1" applyFill="1"/>
    <xf numFmtId="0" fontId="0" fillId="9" borderId="0" xfId="0" applyFill="1" applyAlignment="1">
      <alignment horizontal="left"/>
    </xf>
    <xf numFmtId="0" fontId="0" fillId="0" borderId="0" xfId="0" applyFont="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cellXfs>
  <cellStyles count="1">
    <cellStyle name="Normal" xfId="0" builtinId="0"/>
  </cellStyles>
  <dxfs count="100">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9" tint="-0.249977111117893"/>
        </patternFill>
      </fill>
      <alignment horizontal="center"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3" formatCode="#,##0"/>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font>
    </dxf>
    <dxf>
      <font>
        <b val="0"/>
      </font>
    </dxf>
    <dxf>
      <font>
        <b val="0"/>
      </font>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ill>
        <patternFill>
          <bgColor theme="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3" xr9:uid="{8DF199E9-71A0-4B3A-8ABE-697A18A0F044}">
      <tableStyleElement type="wholeTable" dxfId="99"/>
    </tableStyle>
  </tableStyles>
  <colors>
    <mruColors>
      <color rgb="FFF19861"/>
    </mruColors>
  </colors>
  <extLst>
    <ext xmlns:x14="http://schemas.microsoft.com/office/spreadsheetml/2009/9/main" uri="{46F421CA-312F-682f-3DD2-61675219B42D}">
      <x14:dxfs count="2">
        <dxf>
          <fill>
            <patternFill>
              <bgColor theme="5"/>
            </patternFill>
          </fill>
        </dxf>
        <dxf>
          <fill>
            <patternFill>
              <bgColor rgb="FFF1986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GreenTech GHG Emissions by Scope -Location Based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3DD-4A8F-A180-8693646DD24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3DD-4A8F-A180-8693646DD24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13DD-4A8F-A180-8693646DD249}"/>
              </c:ext>
            </c:extLst>
          </c:dPt>
          <c:cat>
            <c:strRef>
              <c:f>'GHG Inventory Summary'!$O$2:$O$4</c:f>
              <c:strCache>
                <c:ptCount val="3"/>
                <c:pt idx="0">
                  <c:v>Scope 1</c:v>
                </c:pt>
                <c:pt idx="1">
                  <c:v>Scope 2 (Location-based)</c:v>
                </c:pt>
                <c:pt idx="2">
                  <c:v>Scope 3</c:v>
                </c:pt>
              </c:strCache>
            </c:strRef>
          </c:cat>
          <c:val>
            <c:numRef>
              <c:f>'GHG Inventory Summary'!$P$2:$P$4</c:f>
              <c:numCache>
                <c:formatCode>General</c:formatCode>
                <c:ptCount val="3"/>
                <c:pt idx="0">
                  <c:v>457.08625000000001</c:v>
                </c:pt>
                <c:pt idx="1">
                  <c:v>135.88999999999999</c:v>
                </c:pt>
                <c:pt idx="2">
                  <c:v>265.18085200000002</c:v>
                </c:pt>
              </c:numCache>
            </c:numRef>
          </c:val>
          <c:extLst>
            <c:ext xmlns:c16="http://schemas.microsoft.com/office/drawing/2014/chart" uri="{C3380CC4-5D6E-409C-BE32-E72D297353CC}">
              <c16:uniqueId val="{00000000-3E8B-494E-A3E8-D2DE4E283D3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Emissions (tCO2e)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stacked"/>
        <c:varyColors val="0"/>
        <c:ser>
          <c:idx val="0"/>
          <c:order val="0"/>
          <c:tx>
            <c:strRef>
              <c:f>'GHG Inventory Summary'!$AB$8</c:f>
              <c:strCache>
                <c:ptCount val="1"/>
                <c:pt idx="0">
                  <c:v>Emissions (tCO₂e)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'GHG Inventory Summary'!$AA$9:$AA$10</c:f>
              <c:strCache>
                <c:ptCount val="2"/>
                <c:pt idx="0">
                  <c:v>Baseline</c:v>
                </c:pt>
                <c:pt idx="1">
                  <c:v>After 20% reductions</c:v>
                </c:pt>
              </c:strCache>
            </c:strRef>
          </c:cat>
          <c:val>
            <c:numRef>
              <c:f>'GHG Inventory Summary'!$AB$9:$AB$10</c:f>
              <c:numCache>
                <c:formatCode>General</c:formatCode>
                <c:ptCount val="2"/>
                <c:pt idx="0">
                  <c:v>858.15710200000001</c:v>
                </c:pt>
                <c:pt idx="1">
                  <c:v>769.99585200000001</c:v>
                </c:pt>
              </c:numCache>
            </c:numRef>
          </c:val>
          <c:extLst>
            <c:ext xmlns:c16="http://schemas.microsoft.com/office/drawing/2014/chart" uri="{C3380CC4-5D6E-409C-BE32-E72D297353CC}">
              <c16:uniqueId val="{00000000-7654-4CA7-813D-7E31FA7D92E6}"/>
            </c:ext>
          </c:extLst>
        </c:ser>
        <c:dLbls>
          <c:showLegendKey val="0"/>
          <c:showVal val="0"/>
          <c:showCatName val="0"/>
          <c:showSerName val="0"/>
          <c:showPercent val="0"/>
          <c:showBubbleSize val="0"/>
        </c:dLbls>
        <c:gapWidth val="150"/>
        <c:overlap val="100"/>
        <c:axId val="1165730896"/>
        <c:axId val="1295381680"/>
      </c:barChart>
      <c:catAx>
        <c:axId val="11657308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5381680"/>
        <c:crosses val="autoZero"/>
        <c:auto val="1"/>
        <c:lblAlgn val="ctr"/>
        <c:lblOffset val="100"/>
        <c:noMultiLvlLbl val="0"/>
      </c:catAx>
      <c:valAx>
        <c:axId val="12953816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573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[GHG Emissions Inventory.xlsx]Dashboard!PivotTable2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GHG Emissions by Source (tCO2e)</a:t>
            </a:r>
          </a:p>
        </c:rich>
      </c:tx>
      <c:layout>
        <c:manualLayout>
          <c:xMode val="edge"/>
          <c:yMode val="edge"/>
          <c:x val="0.23386811023622048"/>
          <c:y val="3.6016331291921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Dashboard!$G$8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Dashboard!$F$9:$F$18</c:f>
              <c:strCache>
                <c:ptCount val="9"/>
                <c:pt idx="0">
                  <c:v>Gasoline Trucks</c:v>
                </c:pt>
                <c:pt idx="1">
                  <c:v>Aluminum</c:v>
                </c:pt>
                <c:pt idx="2">
                  <c:v>Location-based (Grid)</c:v>
                </c:pt>
                <c:pt idx="3">
                  <c:v>Natural Gas (Boiler)</c:v>
                </c:pt>
                <c:pt idx="4">
                  <c:v>Diesel Trucks </c:v>
                </c:pt>
                <c:pt idx="5">
                  <c:v>Employee commute</c:v>
                </c:pt>
                <c:pt idx="6">
                  <c:v>Refrigerent (Chemical)</c:v>
                </c:pt>
                <c:pt idx="7">
                  <c:v>Business Travel</c:v>
                </c:pt>
                <c:pt idx="8">
                  <c:v>Aluminum (Diesel Frieght Truck)</c:v>
                </c:pt>
              </c:strCache>
            </c:strRef>
          </c:cat>
          <c:val>
            <c:numRef>
              <c:f>Dashboard!$G$9:$G$18</c:f>
              <c:numCache>
                <c:formatCode>General</c:formatCode>
                <c:ptCount val="9"/>
                <c:pt idx="0">
                  <c:v>160.02000000000001</c:v>
                </c:pt>
                <c:pt idx="1">
                  <c:v>148</c:v>
                </c:pt>
                <c:pt idx="2">
                  <c:v>135.88963177327614</c:v>
                </c:pt>
                <c:pt idx="3">
                  <c:v>132.78625</c:v>
                </c:pt>
                <c:pt idx="4">
                  <c:v>122.52</c:v>
                </c:pt>
                <c:pt idx="5">
                  <c:v>97.75</c:v>
                </c:pt>
                <c:pt idx="6">
                  <c:v>41.76</c:v>
                </c:pt>
                <c:pt idx="7">
                  <c:v>13.01033</c:v>
                </c:pt>
                <c:pt idx="8">
                  <c:v>6.4205220171078672</c:v>
                </c:pt>
              </c:numCache>
            </c:numRef>
          </c:val>
          <c:extLst>
            <c:ext xmlns:c16="http://schemas.microsoft.com/office/drawing/2014/chart" uri="{C3380CC4-5D6E-409C-BE32-E72D297353CC}">
              <c16:uniqueId val="{00000000-8672-4EDE-B044-F85F8ADA5690}"/>
            </c:ext>
          </c:extLst>
        </c:ser>
        <c:dLbls>
          <c:showLegendKey val="0"/>
          <c:showVal val="0"/>
          <c:showCatName val="0"/>
          <c:showSerName val="0"/>
          <c:showPercent val="0"/>
          <c:showBubbleSize val="0"/>
        </c:dLbls>
        <c:gapWidth val="100"/>
        <c:axId val="783836368"/>
        <c:axId val="784963088"/>
      </c:barChart>
      <c:catAx>
        <c:axId val="78383636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4963088"/>
        <c:crosses val="autoZero"/>
        <c:auto val="1"/>
        <c:lblAlgn val="ctr"/>
        <c:lblOffset val="100"/>
        <c:noMultiLvlLbl val="0"/>
      </c:catAx>
      <c:valAx>
        <c:axId val="78496308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38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[GHG Emissions Inventory.xlsx]Dashboard!PivotTable1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GHG Emissions by Scope (tCO2e)</a:t>
            </a:r>
          </a:p>
        </c:rich>
      </c:tx>
      <c:layout>
        <c:manualLayout>
          <c:xMode val="edge"/>
          <c:yMode val="edge"/>
          <c:x val="0.24805555555555561"/>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Dashboard!$B$9:$B$12</c:f>
              <c:strCache>
                <c:ptCount val="3"/>
                <c:pt idx="0">
                  <c:v>Scope 1</c:v>
                </c:pt>
                <c:pt idx="1">
                  <c:v>Scope 2</c:v>
                </c:pt>
                <c:pt idx="2">
                  <c:v>Scope 3</c:v>
                </c:pt>
              </c:strCache>
            </c:strRef>
          </c:cat>
          <c:val>
            <c:numRef>
              <c:f>Dashboard!$C$9:$C$12</c:f>
              <c:numCache>
                <c:formatCode>General</c:formatCode>
                <c:ptCount val="3"/>
                <c:pt idx="0">
                  <c:v>457.08625000000001</c:v>
                </c:pt>
                <c:pt idx="1">
                  <c:v>135.88963177327614</c:v>
                </c:pt>
                <c:pt idx="2">
                  <c:v>265.1808520171079</c:v>
                </c:pt>
              </c:numCache>
            </c:numRef>
          </c:val>
          <c:extLst>
            <c:ext xmlns:c16="http://schemas.microsoft.com/office/drawing/2014/chart" uri="{C3380CC4-5D6E-409C-BE32-E72D297353CC}">
              <c16:uniqueId val="{00000000-0566-422F-BD41-EB9BD2DD34E4}"/>
            </c:ext>
          </c:extLst>
        </c:ser>
        <c:dLbls>
          <c:showLegendKey val="0"/>
          <c:showVal val="0"/>
          <c:showCatName val="0"/>
          <c:showSerName val="0"/>
          <c:showPercent val="0"/>
          <c:showBubbleSize val="0"/>
        </c:dLbls>
        <c:gapWidth val="100"/>
        <c:overlap val="-24"/>
        <c:axId val="881619312"/>
        <c:axId val="784918448"/>
      </c:barChart>
      <c:catAx>
        <c:axId val="8816193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4918448"/>
        <c:crosses val="autoZero"/>
        <c:auto val="1"/>
        <c:lblAlgn val="ctr"/>
        <c:lblOffset val="100"/>
        <c:noMultiLvlLbl val="0"/>
      </c:catAx>
      <c:valAx>
        <c:axId val="7849184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8161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Scope 2 Emissions: Reporting Methods (tCO2e)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Dashboard!$K$8</c:f>
              <c:strCache>
                <c:ptCount val="1"/>
                <c:pt idx="0">
                  <c:v>Emissions (tCO2e)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Dashboard!$J$9:$J$10</c:f>
              <c:strCache>
                <c:ptCount val="2"/>
                <c:pt idx="0">
                  <c:v>Scope 2 (Location-based)</c:v>
                </c:pt>
                <c:pt idx="1">
                  <c:v>Scope 2 (market-based)</c:v>
                </c:pt>
              </c:strCache>
            </c:strRef>
          </c:cat>
          <c:val>
            <c:numRef>
              <c:f>Dashboard!$K$9:$K$10</c:f>
              <c:numCache>
                <c:formatCode>General</c:formatCode>
                <c:ptCount val="2"/>
                <c:pt idx="0">
                  <c:v>135.88999999999999</c:v>
                </c:pt>
                <c:pt idx="1">
                  <c:v>40.82</c:v>
                </c:pt>
              </c:numCache>
            </c:numRef>
          </c:val>
          <c:extLst>
            <c:ext xmlns:c16="http://schemas.microsoft.com/office/drawing/2014/chart" uri="{C3380CC4-5D6E-409C-BE32-E72D297353CC}">
              <c16:uniqueId val="{00000000-B1E6-4CA5-909B-7A28A8D67021}"/>
            </c:ext>
          </c:extLst>
        </c:ser>
        <c:dLbls>
          <c:showLegendKey val="0"/>
          <c:showVal val="0"/>
          <c:showCatName val="0"/>
          <c:showSerName val="0"/>
          <c:showPercent val="0"/>
          <c:showBubbleSize val="0"/>
        </c:dLbls>
        <c:gapWidth val="100"/>
        <c:overlap val="-24"/>
        <c:axId val="2112208783"/>
        <c:axId val="58898224"/>
      </c:barChart>
      <c:catAx>
        <c:axId val="21122087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898224"/>
        <c:crosses val="autoZero"/>
        <c:auto val="1"/>
        <c:lblAlgn val="ctr"/>
        <c:lblOffset val="100"/>
        <c:noMultiLvlLbl val="0"/>
      </c:catAx>
      <c:valAx>
        <c:axId val="588982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2208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Hypothetical GHG Reductions Scenario (tCO2e)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Dashboard!$Q$8</c:f>
              <c:strCache>
                <c:ptCount val="1"/>
                <c:pt idx="0">
                  <c:v>Emissions (tCO2e)</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invertIfNegative val="0"/>
          <c:cat>
            <c:strRef>
              <c:f>Dashboard!$P$9:$P$10</c:f>
              <c:strCache>
                <c:ptCount val="2"/>
                <c:pt idx="0">
                  <c:v>Baseline</c:v>
                </c:pt>
                <c:pt idx="1">
                  <c:v>After 20% reductions</c:v>
                </c:pt>
              </c:strCache>
            </c:strRef>
          </c:cat>
          <c:val>
            <c:numRef>
              <c:f>Dashboard!$Q$9:$Q$10</c:f>
              <c:numCache>
                <c:formatCode>General</c:formatCode>
                <c:ptCount val="2"/>
                <c:pt idx="0">
                  <c:v>858.15710200000001</c:v>
                </c:pt>
                <c:pt idx="1">
                  <c:v>769.99585200000001</c:v>
                </c:pt>
              </c:numCache>
            </c:numRef>
          </c:val>
          <c:extLst>
            <c:ext xmlns:c16="http://schemas.microsoft.com/office/drawing/2014/chart" uri="{C3380CC4-5D6E-409C-BE32-E72D297353CC}">
              <c16:uniqueId val="{00000000-3AD8-4BC7-AD16-C59CDAD00820}"/>
            </c:ext>
          </c:extLst>
        </c:ser>
        <c:dLbls>
          <c:showLegendKey val="0"/>
          <c:showVal val="0"/>
          <c:showCatName val="0"/>
          <c:showSerName val="0"/>
          <c:showPercent val="0"/>
          <c:showBubbleSize val="0"/>
        </c:dLbls>
        <c:gapWidth val="100"/>
        <c:overlap val="-24"/>
        <c:axId val="327758415"/>
        <c:axId val="786554287"/>
      </c:barChart>
      <c:catAx>
        <c:axId val="3277584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6554287"/>
        <c:crosses val="autoZero"/>
        <c:auto val="1"/>
        <c:lblAlgn val="ctr"/>
        <c:lblOffset val="100"/>
        <c:noMultiLvlLbl val="0"/>
      </c:catAx>
      <c:valAx>
        <c:axId val="7865542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7758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17</xdr:col>
      <xdr:colOff>21166</xdr:colOff>
      <xdr:row>0</xdr:row>
      <xdr:rowOff>31750</xdr:rowOff>
    </xdr:from>
    <xdr:to>
      <xdr:col>22</xdr:col>
      <xdr:colOff>-1</xdr:colOff>
      <xdr:row>7</xdr:row>
      <xdr:rowOff>0</xdr:rowOff>
    </xdr:to>
    <xdr:graphicFrame macro="">
      <xdr:nvGraphicFramePr>
        <xdr:cNvPr id="2" name="Chart 1">
          <a:extLst>
            <a:ext uri="{FF2B5EF4-FFF2-40B4-BE49-F238E27FC236}">
              <a16:creationId xmlns:a16="http://schemas.microsoft.com/office/drawing/2014/main" id="{763D6AD9-C9F6-1A49-4931-C96AD9803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10585</xdr:colOff>
      <xdr:row>0</xdr:row>
      <xdr:rowOff>10584</xdr:rowOff>
    </xdr:from>
    <xdr:to>
      <xdr:col>38</xdr:col>
      <xdr:colOff>4233</xdr:colOff>
      <xdr:row>7</xdr:row>
      <xdr:rowOff>169334</xdr:rowOff>
    </xdr:to>
    <xdr:graphicFrame macro="">
      <xdr:nvGraphicFramePr>
        <xdr:cNvPr id="3" name="Chart 2">
          <a:extLst>
            <a:ext uri="{FF2B5EF4-FFF2-40B4-BE49-F238E27FC236}">
              <a16:creationId xmlns:a16="http://schemas.microsoft.com/office/drawing/2014/main" id="{30EF9354-989C-215E-AAAC-0E194C1E3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1135059</xdr:colOff>
      <xdr:row>18</xdr:row>
      <xdr:rowOff>172242</xdr:rowOff>
    </xdr:from>
    <xdr:to>
      <xdr:col>7</xdr:col>
      <xdr:colOff>1429784</xdr:colOff>
      <xdr:row>36</xdr:row>
      <xdr:rowOff>10584</xdr:rowOff>
    </xdr:to>
    <xdr:graphicFrame macro="">
      <xdr:nvGraphicFramePr>
        <xdr:cNvPr id="2" name="Chart 1">
          <a:extLst>
            <a:ext uri="{FF2B5EF4-FFF2-40B4-BE49-F238E27FC236}">
              <a16:creationId xmlns:a16="http://schemas.microsoft.com/office/drawing/2014/main" id="{678F55C7-66A5-0E9E-A3BD-19B2649BE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156103</xdr:colOff>
      <xdr:row>19</xdr:row>
      <xdr:rowOff>2645</xdr:rowOff>
    </xdr:from>
    <xdr:to>
      <xdr:col>4</xdr:col>
      <xdr:colOff>673078</xdr:colOff>
      <xdr:row>35</xdr:row>
      <xdr:rowOff>158748</xdr:rowOff>
    </xdr:to>
    <xdr:graphicFrame macro="">
      <xdr:nvGraphicFramePr>
        <xdr:cNvPr id="3" name="Chart 2">
          <a:extLst>
            <a:ext uri="{FF2B5EF4-FFF2-40B4-BE49-F238E27FC236}">
              <a16:creationId xmlns:a16="http://schemas.microsoft.com/office/drawing/2014/main" id="{F170D8ED-1523-97F0-5514-1E1FEA274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501384</xdr:colOff>
      <xdr:row>19</xdr:row>
      <xdr:rowOff>15873</xdr:rowOff>
    </xdr:from>
    <xdr:to>
      <xdr:col>11</xdr:col>
      <xdr:colOff>1261776</xdr:colOff>
      <xdr:row>36</xdr:row>
      <xdr:rowOff>38818</xdr:rowOff>
    </xdr:to>
    <xdr:graphicFrame macro="">
      <xdr:nvGraphicFramePr>
        <xdr:cNvPr id="4" name="Chart 3">
          <a:extLst>
            <a:ext uri="{FF2B5EF4-FFF2-40B4-BE49-F238E27FC236}">
              <a16:creationId xmlns:a16="http://schemas.microsoft.com/office/drawing/2014/main" id="{84E0E036-CE1F-BB96-D4DD-BEA483468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728928</xdr:colOff>
      <xdr:row>18</xdr:row>
      <xdr:rowOff>169596</xdr:rowOff>
    </xdr:from>
    <xdr:to>
      <xdr:col>16</xdr:col>
      <xdr:colOff>589736</xdr:colOff>
      <xdr:row>36</xdr:row>
      <xdr:rowOff>0</xdr:rowOff>
    </xdr:to>
    <xdr:graphicFrame macro="">
      <xdr:nvGraphicFramePr>
        <xdr:cNvPr id="6" name="Chart 5">
          <a:extLst>
            <a:ext uri="{FF2B5EF4-FFF2-40B4-BE49-F238E27FC236}">
              <a16:creationId xmlns:a16="http://schemas.microsoft.com/office/drawing/2014/main" id="{431995B5-1BFF-DA08-864E-9AFCBA6E3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842431</xdr:colOff>
      <xdr:row>3</xdr:row>
      <xdr:rowOff>21166</xdr:rowOff>
    </xdr:from>
    <xdr:to>
      <xdr:col>8</xdr:col>
      <xdr:colOff>231138</xdr:colOff>
      <xdr:row>5</xdr:row>
      <xdr:rowOff>84136</xdr:rowOff>
    </xdr:to>
    <mc:AlternateContent xmlns:mc="http://schemas.openxmlformats.org/markup-compatibility/2006" xmlns:a14="http://schemas.microsoft.com/office/drawing/2010/main">
      <mc:Choice Requires="a14">
        <xdr:graphicFrame macro="">
          <xdr:nvGraphicFramePr>
            <xdr:cNvPr id="8" name="Scope">
              <a:extLst>
                <a:ext uri="{FF2B5EF4-FFF2-40B4-BE49-F238E27FC236}">
                  <a16:creationId xmlns:a16="http://schemas.microsoft.com/office/drawing/2014/main" id="{E5679ADA-7968-7DE8-4A91-AD9C79238ABF}"/>
                </a:ext>
              </a:extLst>
            </xdr:cNvPr>
            <xdr:cNvGraphicFramePr/>
          </xdr:nvGraphicFramePr>
          <xdr:xfrm>
            <a:off x="0" y="0"/>
            <a:ext cx="0" cy="0"/>
          </xdr:xfrm>
          <a:graphic>
            <a:graphicData uri="http://schemas.microsoft.com/office/drawing/2010/slicer">
              <sle:slicer xmlns:sle="http://schemas.microsoft.com/office/drawing/2010/slicer" name="Scope"/>
            </a:graphicData>
          </a:graphic>
        </xdr:graphicFrame>
      </mc:Choice>
      <mc:Fallback xmlns="">
        <xdr:sp macro="" textlink="">
          <xdr:nvSpPr>
            <xdr:cNvPr id="0" name=""/>
            <xdr:cNvSpPr>
              <a:spLocks noTextEdit="1"/>
            </xdr:cNvSpPr>
          </xdr:nvSpPr>
          <xdr:spPr>
            <a:xfrm>
              <a:off x="4832348" y="698499"/>
              <a:ext cx="6035040" cy="454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PC001" refreshedDate="46289.708127777776" createdVersion="8" refreshedVersion="8" minRefreshableVersion="3" recordCount="9" xr:uid="{AAF643C2-2D15-4C0A-B1F1-4B959A9CF24F}">
  <cacheSource type="worksheet">
    <worksheetSource ref="H1:J10" sheet="GHG Inventory Summary"/>
  </cacheSource>
  <cacheFields count="3">
    <cacheField name="Scope" numFmtId="0">
      <sharedItems count="3">
        <s v="Scope 1"/>
        <s v="Scope 2"/>
        <s v="Scope 3"/>
      </sharedItems>
    </cacheField>
    <cacheField name="Emissions Source" numFmtId="0">
      <sharedItems count="9">
        <s v="Gasoline Trucks"/>
        <s v="Diesel Trucks "/>
        <s v="Natural Gas (Boiler)"/>
        <s v="Refrigerent (Chemical)"/>
        <s v="Location-based (Grid)"/>
        <s v="Employee commute"/>
        <s v="Business Travel"/>
        <s v="Aluminum"/>
        <s v="Aluminum (Diesel Frieght Truck)"/>
      </sharedItems>
    </cacheField>
    <cacheField name="Emissions (TCO₂e)" numFmtId="0">
      <sharedItems containsSemiMixedTypes="0" containsString="0" containsNumber="1" minValue="6.4205220171078672" maxValue="160.02000000000001"/>
    </cacheField>
  </cacheFields>
  <extLst>
    <ext xmlns:x14="http://schemas.microsoft.com/office/spreadsheetml/2009/9/main" uri="{725AE2AE-9491-48be-B2B4-4EB974FC3084}">
      <x14:pivotCacheDefinition pivotCacheId="1430672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n v="160.02000000000001"/>
  </r>
  <r>
    <x v="0"/>
    <x v="1"/>
    <n v="122.52"/>
  </r>
  <r>
    <x v="0"/>
    <x v="2"/>
    <n v="132.78625"/>
  </r>
  <r>
    <x v="0"/>
    <x v="3"/>
    <n v="41.76"/>
  </r>
  <r>
    <x v="1"/>
    <x v="4"/>
    <n v="135.88963177327614"/>
  </r>
  <r>
    <x v="2"/>
    <x v="5"/>
    <n v="97.75"/>
  </r>
  <r>
    <x v="2"/>
    <x v="6"/>
    <n v="13.01033"/>
  </r>
  <r>
    <x v="2"/>
    <x v="7"/>
    <n v="148"/>
  </r>
  <r>
    <x v="2"/>
    <x v="8"/>
    <n v="6.42052201710786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AACE6A-A757-4F08-90F9-FEABB9C545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mission Sources">
  <location ref="F8:G18" firstHeaderRow="1" firstDataRow="1" firstDataCol="1"/>
  <pivotFields count="3">
    <pivotField showAll="0">
      <items count="4">
        <item x="0"/>
        <item x="1"/>
        <item x="2"/>
        <item t="default"/>
      </items>
    </pivotField>
    <pivotField axis="axisRow" showAll="0" sortType="descending">
      <items count="10">
        <item x="7"/>
        <item x="8"/>
        <item x="6"/>
        <item x="1"/>
        <item x="5"/>
        <item x="0"/>
        <item x="4"/>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0">
    <i>
      <x v="5"/>
    </i>
    <i>
      <x/>
    </i>
    <i>
      <x v="6"/>
    </i>
    <i>
      <x v="7"/>
    </i>
    <i>
      <x v="3"/>
    </i>
    <i>
      <x v="4"/>
    </i>
    <i>
      <x v="8"/>
    </i>
    <i>
      <x v="2"/>
    </i>
    <i>
      <x v="1"/>
    </i>
    <i t="grand">
      <x/>
    </i>
  </rowItems>
  <colItems count="1">
    <i/>
  </colItems>
  <dataFields count="1">
    <dataField name="Emissions (tCO2e)" fld="2" baseField="1" baseItem="5"/>
  </dataFields>
  <chartFormats count="1">
    <chartFormat chart="2" format="0"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5BCA20-579D-49AA-917A-631AEA6297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Emission Sources">
  <location ref="B8:C12" firstHeaderRow="1" firstDataRow="1" firstDataCol="1"/>
  <pivotFields count="3">
    <pivotField axis="axisRow" showAll="0">
      <items count="4">
        <item x="0"/>
        <item x="1"/>
        <item x="2"/>
        <item t="default"/>
      </items>
    </pivotField>
    <pivotField showAll="0"/>
    <pivotField dataField="1" showAll="0"/>
  </pivotFields>
  <rowFields count="1">
    <field x="0"/>
  </rowFields>
  <rowItems count="4">
    <i>
      <x/>
    </i>
    <i>
      <x v="1"/>
    </i>
    <i>
      <x v="2"/>
    </i>
    <i t="grand">
      <x/>
    </i>
  </rowItems>
  <colItems count="1">
    <i/>
  </colItems>
  <dataFields count="1">
    <dataField name="Emissions (tCO2e)" fld="2"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pe" xr10:uid="{413CC3EF-F81C-4DC4-A656-0AB3D7E8FA3A}" sourceName="Scope">
  <pivotTables>
    <pivotTable tabId="11" name="PivotTable2"/>
  </pivotTables>
  <data>
    <tabular pivotCacheId="143067270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ope" xr10:uid="{8586567F-BABB-42F5-B997-E3B967CBCF0B}" cache="Slicer_Scope" caption="Scope" columnCount="3" showCaption="0" style="Slicer Style 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3ABBD9-E16D-4ACC-9096-E20B19058E53}" name="Table2" displayName="Table2" ref="C1:D12" totalsRowShown="0" headerRowDxfId="98" dataDxfId="3">
  <autoFilter ref="C1:D12" xr:uid="{9C3ABBD9-E16D-4ACC-9096-E20B19058E53}"/>
  <tableColumns count="2">
    <tableColumn id="1" xr3:uid="{59799592-208E-4F73-8F47-FADF985DC3B7}" name="Column" dataDxfId="5"/>
    <tableColumn id="2" xr3:uid="{950741B4-721F-4FF5-BDF6-156B1CED005A}" name="Purpose" dataDxfId="4"/>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A60943-A38E-4920-BFA3-40C3F82CE0E2}" name="Table3" displayName="Table3" ref="A1:A4" totalsRowShown="0" headerRowDxfId="1" dataDxfId="0">
  <autoFilter ref="A1:A4" xr:uid="{BBA60943-A38E-4920-BFA3-40C3F82CE0E2}"/>
  <tableColumns count="1">
    <tableColumn id="1" xr3:uid="{03BBC7FE-D6AE-4368-93D4-03245872BA72}" name="Formulas:" dataDxfId="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3196D65-9B8F-47DE-9A0F-8CC6C0FAD50B}" name="Table10" displayName="Table10" ref="M1:N6" totalsRowShown="0" headerRowDxfId="97" dataDxfId="96">
  <autoFilter ref="M1:N6" xr:uid="{33196D65-9B8F-47DE-9A0F-8CC6C0FAD50B}"/>
  <tableColumns count="2">
    <tableColumn id="1" xr3:uid="{0B05801A-3C28-48CE-93E2-132FA198515A}" name="Stationary Combustion" dataDxfId="95"/>
    <tableColumn id="2" xr3:uid="{BA2FDE7B-8CF8-436D-B326-973471EFC622}" name="Formulas" dataDxfId="94"/>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3EDF24D-CBE5-420A-9143-7E85A13C834E}" name="Table24" displayName="Table24" ref="F1:K15" totalsRowShown="0" headerRowDxfId="93" dataDxfId="92">
  <autoFilter ref="F1:K15" xr:uid="{A3EDF24D-CBE5-420A-9143-7E85A13C834E}"/>
  <tableColumns count="6">
    <tableColumn id="1" xr3:uid="{0BF4B108-93D3-4246-9120-871B60A3B8C5}" name="Scope" dataDxfId="91"/>
    <tableColumn id="2" xr3:uid="{BFE399D6-EB9D-469C-A249-6EB3E9C62400}" name="Emission Source" dataDxfId="90"/>
    <tableColumn id="3" xr3:uid="{769C2DB6-4841-4515-BA83-A38AD9EA4FA0}" name="GHG" dataDxfId="89"/>
    <tableColumn id="4" xr3:uid="{BFB84EB8-B887-4E46-AAAF-47BE92B0FF9E}" name="Emission Factor" dataDxfId="88"/>
    <tableColumn id="5" xr3:uid="{AE13BF02-0D1A-41C6-B705-17E5D3FEE6B6}" name="Unit" dataDxfId="87"/>
    <tableColumn id="6" xr3:uid="{2AA2A0E3-E01D-4DD8-9402-F4A58D19D1F2}" name="Source" dataDxfId="86"/>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96CD7D5-49E6-46DF-8848-7EF7F8A73E58}" name="Table25" displayName="Table25" ref="P1:Q5" totalsRowShown="0" headerRowDxfId="85" dataDxfId="84">
  <autoFilter ref="P1:Q5" xr:uid="{996CD7D5-49E6-46DF-8848-7EF7F8A73E58}"/>
  <tableColumns count="2">
    <tableColumn id="1" xr3:uid="{485499B3-8828-4632-A5EA-AD187DE34AE5}" name="Conversions " dataDxfId="83"/>
    <tableColumn id="2" xr3:uid="{FCCDADB7-9932-4A02-A6DA-99D9DEF3FCBE}" name="Column1" dataDxfId="82"/>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B03032-969F-41C0-87B0-1A79D04E691A}" name="Table8" displayName="Table8" ref="A1:F4" totalsRowShown="0" headerRowDxfId="35" dataDxfId="34" tableBorderDxfId="81">
  <autoFilter ref="A1:F4" xr:uid="{9DB03032-969F-41C0-87B0-1A79D04E691A}"/>
  <tableColumns count="6">
    <tableColumn id="1" xr3:uid="{50438D13-4A35-45FB-AF87-2DA3A0EF1334}" name="Fuel" dataDxfId="41"/>
    <tableColumn id="2" xr3:uid="{B480AC8E-D0CC-437A-81E2-8D4E2AE05D31}" name="Vehicles" dataDxfId="40"/>
    <tableColumn id="3" xr3:uid="{B9A1CE6D-AF70-4D38-A535-73EF6383D800}" name="Quantity (gal)" dataDxfId="39"/>
    <tableColumn id="4" xr3:uid="{476A2EEA-BEFD-4C0D-B33A-FADF4E2851F5}" name="Emission Factor (Kg CO2e/gal)" dataDxfId="38"/>
    <tableColumn id="5" xr3:uid="{F8D032BD-68AD-495A-9C4F-8C712084081B}" name="Emissions (Kg CO2e)" dataDxfId="37"/>
    <tableColumn id="6" xr3:uid="{69FA729E-A405-459C-AA37-65FD5D52F637}" name="Emissions (tCO2e)" dataDxfId="36"/>
  </tableColumns>
  <tableStyleInfo name="TableStyleMedium2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D4976B7-98D9-403D-81B5-40FFBF621DDF}" name="Table9" displayName="Table9" ref="A11:H12" totalsRowShown="0" headerRowDxfId="25" dataDxfId="24">
  <autoFilter ref="A11:H12" xr:uid="{AD4976B7-98D9-403D-81B5-40FFBF621DDF}"/>
  <tableColumns count="8">
    <tableColumn id="1" xr3:uid="{F360374B-CF41-44C8-AAB5-D150E393182B}" name="Fuel" dataDxfId="33"/>
    <tableColumn id="2" xr3:uid="{0479BE48-B51A-4041-B457-F2398A7F1F9C}" name="Equipment" dataDxfId="32"/>
    <tableColumn id="3" xr3:uid="{75F8D922-88DB-409F-8424-69E622F6E2B5}" name="Quantity (therms)" dataDxfId="31"/>
    <tableColumn id="4" xr3:uid="{4C50855F-5E04-4407-8651-67E2278B87DC}" name="Therms to MMBtu" dataDxfId="30">
      <calculatedColumnFormula>C12*0.1</calculatedColumnFormula>
    </tableColumn>
    <tableColumn id="5" xr3:uid="{7C033D83-C4C7-416D-8C9C-C49F86793BB4}" name="Emission factor (Kg CO2/mmBtu)" dataDxfId="29"/>
    <tableColumn id="6" xr3:uid="{9A138A27-C4B0-446F-88BB-13DBA5ECCFBD}" name="Emissions (Kg CO2)" dataDxfId="28">
      <calculatedColumnFormula>D12*E12</calculatedColumnFormula>
    </tableColumn>
    <tableColumn id="7" xr3:uid="{C7C595E5-6AF3-4C56-8F4C-3B429BF8F3B7}" name="Emissions (tCO2)" dataDxfId="27">
      <calculatedColumnFormula>F12/1000</calculatedColumnFormula>
    </tableColumn>
    <tableColumn id="8" xr3:uid="{193C924B-99D0-48EF-AA1F-F51834676CB9}" name="Emissions (tCO2e)" dataDxfId="26">
      <calculatedColumnFormula>Table9[[#This Row],[Emissions (tCO2)]]*1</calculatedColumnFormula>
    </tableColumn>
  </tableColumns>
  <tableStyleInfo name="TableStyleMedium2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8E7304-B08D-4ACB-BFE9-76527F503F1A}" name="Table11" displayName="Table11" ref="A18:E19" totalsRowShown="0" headerRowDxfId="18" dataDxfId="17">
  <autoFilter ref="A18:E19" xr:uid="{968E7304-B08D-4ACB-BFE9-76527F503F1A}"/>
  <tableColumns count="5">
    <tableColumn id="1" xr3:uid="{A5E4612C-9666-4200-828D-BA4DAEE0B44A}" name="Refrigerent (chemical)" dataDxfId="23"/>
    <tableColumn id="2" xr3:uid="{73D96F05-DFF4-4306-B93F-9B0B497C90B8}" name="Quantity (Kg)" dataDxfId="22"/>
    <tableColumn id="3" xr3:uid="{9C8D1924-5AB0-4A99-8137-7DA505CDF0FD}" name="GWP Emission Factor (Kg CO2e/Kg R-410A)" dataDxfId="21"/>
    <tableColumn id="4" xr3:uid="{B9C384E3-3379-4D67-A3D2-67A6FEDA41A1}" name="Emissions (Kg CO2e)" dataDxfId="20">
      <calculatedColumnFormula>B19*C19</calculatedColumnFormula>
    </tableColumn>
    <tableColumn id="5" xr3:uid="{6E211FFD-33C5-486D-98A3-B0BEA4453775}" name="Emissions (tCO2e)" dataDxfId="19">
      <calculatedColumnFormula>D19/1000</calculatedColumnFormula>
    </tableColumn>
  </tableColumns>
  <tableStyleInfo name="TableStyleMedium2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E3AEBE7-0DE0-497E-857E-7FF1820D5F39}" name="Table12" displayName="Table12" ref="A6:I9" totalsRowShown="0" headerRowDxfId="7" dataDxfId="6">
  <autoFilter ref="A6:I9" xr:uid="{EE3AEBE7-0DE0-497E-857E-7FF1820D5F39}"/>
  <tableColumns count="9">
    <tableColumn id="1" xr3:uid="{D02EFE87-9F38-4A7D-BB92-19B35D78CB52}" name="Fuel " dataDxfId="16"/>
    <tableColumn id="2" xr3:uid="{F3E63CE6-CEA1-4B61-8E66-9B6481FEF5D2}" name="Equipment" dataDxfId="15"/>
    <tableColumn id="3" xr3:uid="{7CC78011-F318-49A6-AD79-779845B98115}" name="Quantity (therms)" dataDxfId="14"/>
    <tableColumn id="4" xr3:uid="{87C0C71B-329B-469A-85B1-1A58390144A4}" name="Therms to MMBtu" dataDxfId="13"/>
    <tableColumn id="5" xr3:uid="{16F7551F-CE1D-4E3C-9C35-D3DC6F01CED7}" name="Emission factor (g CH4/mmBtu)" dataDxfId="12"/>
    <tableColumn id="6" xr3:uid="{6D453637-A338-4575-A91D-D625DC2E9277}" name="Emissions (Kg CH4)" dataDxfId="11">
      <calculatedColumnFormula>(D7*E7)/1000</calculatedColumnFormula>
    </tableColumn>
    <tableColumn id="7" xr3:uid="{105A9133-D452-426F-90DF-CF985A47D939}" name="Emissions Factor (GWP)" dataDxfId="10"/>
    <tableColumn id="8" xr3:uid="{D932EED9-72B0-4B19-BA21-5AAD660B311E}" name="Emissions (Kg CO2e)" dataDxfId="9">
      <calculatedColumnFormula>F7*G7</calculatedColumnFormula>
    </tableColumn>
    <tableColumn id="9" xr3:uid="{9538EAE4-2D13-4881-B44B-E5704A99AA4D}" name="Emissions (tCO2e)" dataDxfId="8">
      <calculatedColumnFormula>H7/1000</calculatedColumnFormula>
    </tableColumn>
  </tableColumns>
  <tableStyleInfo name="TableStyleMedium2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3D18C96-145A-4EC2-9734-2A5CF54D8C96}" name="Table17" displayName="Table17" ref="A2:J3" totalsRowShown="0" headerRowDxfId="80" dataDxfId="79">
  <autoFilter ref="A2:J3" xr:uid="{93D18C96-145A-4EC2-9734-2A5CF54D8C96}"/>
  <tableColumns count="10">
    <tableColumn id="1" xr3:uid="{06CF6240-C99A-4C6E-B404-534675075321}" name="Year " dataDxfId="78"/>
    <tableColumn id="2" xr3:uid="{9C39C7C5-D9B5-4FE5-80EB-140F2D214157}" name="Month" dataDxfId="77"/>
    <tableColumn id="3" xr3:uid="{DB7A8355-29ED-4004-88AD-2502CC02C409}" name="Source" dataDxfId="76"/>
    <tableColumn id="4" xr3:uid="{AC239198-9459-4129-9D0E-07B9FA4C5E61}" name="Electricity use" dataDxfId="75">
      <calculatedColumnFormula>SUBSTITUTE("500,000",",","")</calculatedColumnFormula>
    </tableColumn>
    <tableColumn id="5" xr3:uid="{C111E11A-7E15-4305-AE5A-C1C098D9C89B}" name="Unit" dataDxfId="74"/>
    <tableColumn id="6" xr3:uid="{1027106C-AF2D-43D2-BE97-6D66EC2FF8E9}" name="Electricity use (MWh)" dataDxfId="73">
      <calculatedColumnFormula>D3/1000</calculatedColumnFormula>
    </tableColumn>
    <tableColumn id="7" xr3:uid="{7C333EF9-B909-49F1-80D7-9FFB80CDF3E9}" name="Emission Factor  (lb CO2e / MWh)" dataDxfId="72"/>
    <tableColumn id="8" xr3:uid="{273B2707-001C-44CC-8965-9A014A3331CD}" name="Emissions (lb CO2e)" dataDxfId="71">
      <calculatedColumnFormula>F3*G3</calculatedColumnFormula>
    </tableColumn>
    <tableColumn id="9" xr3:uid="{7B19C316-09BE-44F5-9ACF-0AC849427759}" name="Emissions (Kg CO2e)" dataDxfId="70">
      <calculatedColumnFormula>H3/2.20462</calculatedColumnFormula>
    </tableColumn>
    <tableColumn id="10" xr3:uid="{6033FEEF-692D-45B8-BDDA-48AFB38D7BF4}" name="Emissions (tCO2e)" dataDxfId="69">
      <calculatedColumnFormula>I3/1000</calculatedColumnFormula>
    </tableColumn>
  </tableColumns>
  <tableStyleInfo name="TableStyleMedium2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B95B622-18E1-4B74-9927-B8A918DCF4B2}" name="Table18" displayName="Table18" ref="A5:K7" totalsRowShown="0" headerRowDxfId="68" dataDxfId="67">
  <autoFilter ref="A5:K7" xr:uid="{CB95B622-18E1-4B74-9927-B8A918DCF4B2}"/>
  <tableColumns count="11">
    <tableColumn id="1" xr3:uid="{2429182D-24CA-4152-BFAD-10C253C4D261}" name="Year " dataDxfId="66"/>
    <tableColumn id="2" xr3:uid="{9A1F4709-7823-4017-91FA-B0B9357F1A8A}" name="Month" dataDxfId="65"/>
    <tableColumn id="3" xr3:uid="{68C8B5F9-FA12-440B-841C-5EF470BF6D73}" name="Source" dataDxfId="64"/>
    <tableColumn id="4" xr3:uid="{0C8EA517-CD9A-47CE-9F15-5F624072FCA8}" name="Electricity use (total)" dataDxfId="63"/>
    <tableColumn id="5" xr3:uid="{25007C38-F1D9-47F8-A7F3-20AF899A9D95}" name="Unit" dataDxfId="62"/>
    <tableColumn id="6" xr3:uid="{8B5F494D-9537-48A6-A4C1-F4A870BFC63D}" name="Renewable Energy Certif (RECs)-covered" dataDxfId="61"/>
    <tableColumn id="7" xr3:uid="{1D92DF6C-BE62-4E94-BFC4-0709A4E721EB}" name="Not-RECs covered" dataDxfId="60"/>
    <tableColumn id="8" xr3:uid="{DDD4DDE0-D00F-44EC-94A6-7F8D3C354EDC}" name="Emission Factor  (lb CO2e / MWh)" dataDxfId="59"/>
    <tableColumn id="9" xr3:uid="{655FD29A-9752-43FC-ADFF-7ACEC1ADF2B3}" name="Emissions (lb CO2e)" dataDxfId="58">
      <calculatedColumnFormula>G6*H6</calculatedColumnFormula>
    </tableColumn>
    <tableColumn id="10" xr3:uid="{14F332C8-F422-4320-935A-929815F0557A}" name="Emissions (Kg CO2e)" dataDxfId="57">
      <calculatedColumnFormula>I6/2.20462</calculatedColumnFormula>
    </tableColumn>
    <tableColumn id="11" xr3:uid="{4C668DCE-073E-42DC-9979-D6DFD6984372}" name="Emissions (tCO2e)" dataDxfId="56">
      <calculatedColumnFormula>J6/1000</calculatedColumnFormula>
    </tableColumn>
  </tableColumns>
  <tableStyleInfo name="TableStyleMedium2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C85C389-FB21-4D8B-8411-92D5A495FE4E}" name="Table13" displayName="Table13" ref="A2:G3" totalsRowShown="0">
  <autoFilter ref="A2:G3" xr:uid="{CC85C389-FB21-4D8B-8411-92D5A495FE4E}"/>
  <tableColumns count="7">
    <tableColumn id="1" xr3:uid="{EBD0FBBD-B625-498E-8CB1-92E063006255}" name="Employees"/>
    <tableColumn id="2" xr3:uid="{B89AA4A2-7BA9-4542-9961-CA4A91A0B437}" name="Each commute (Avg miles per workday)"/>
    <tableColumn id="3" xr3:uid="{927828C5-2F33-4B9D-8333-F8C5D243ED7A}" name="Working days "/>
    <tableColumn id="4" xr3:uid="{4EEDBD65-174F-4875-93F5-3A7290BF045E}" name="Total employee-commuting miles (year)">
      <calculatedColumnFormula>A3*B3*C3</calculatedColumnFormula>
    </tableColumn>
    <tableColumn id="5" xr3:uid="{CA2DC2A6-9803-4D88-8791-B3D6AA4437DC}" name="Emissions Factor (Kg CO2e/mile)"/>
    <tableColumn id="6" xr3:uid="{932E6702-F8EF-404A-8119-EB51A1EBECB3}" name="Emissions (Kg CO2e)">
      <calculatedColumnFormula>D3*E3</calculatedColumnFormula>
    </tableColumn>
    <tableColumn id="7" xr3:uid="{DE99103F-5438-49DD-A282-E3BD03A684B6}" name="Emissions (tCO2e)">
      <calculatedColumnFormula>F3/1000</calculatedColumnFormula>
    </tableColumn>
  </tableColumns>
  <tableStyleInfo name="TableStyleMedium2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51D7F09-02BE-43D9-BEE9-7CAACE8CA2D7}" name="Table14" displayName="Table14" ref="A6:O9" totalsRowShown="0">
  <autoFilter ref="A6:O9" xr:uid="{D51D7F09-02BE-43D9-BEE9-7CAACE8CA2D7}"/>
  <tableColumns count="15">
    <tableColumn id="1" xr3:uid="{430697D5-B16F-4FEA-9A1A-6F5583EDFAF2}" name="Mode "/>
    <tableColumn id="2" xr3:uid="{95C12EE6-A1BE-4376-8446-2C9B44D3397A}" name="Activity (passenger-miles)"/>
    <tableColumn id="3" xr3:uid="{550FDE81-970A-457E-901F-1AF8423C4A03}" name="Flight distance"/>
    <tableColumn id="4" xr3:uid="{88FA0B65-D760-4FFE-9B4C-7508D5915417}" name="Kg CO2/ passenger-mile"/>
    <tableColumn id="5" xr3:uid="{BA22B8DC-9A3C-4218-A82B-DE87112A467D}" name="g CH4/ passenger-mile"/>
    <tableColumn id="6" xr3:uid="{92B79BB9-3174-44B8-93F3-4F406724605D}" name="g N2O/ passenger-mile "/>
    <tableColumn id="7" xr3:uid="{876103C1-2999-4FD9-852E-1661154C1FA9}" name="Emissions (Kg CO2)"/>
    <tableColumn id="8" xr3:uid="{77C6354C-EBEB-4E0F-99EC-E37817D44957}" name="Emissions (g CH4)"/>
    <tableColumn id="9" xr3:uid="{4096E9C3-67F5-4A25-95A0-A25927791BBF}" name="Emissions (g N2O) "/>
    <tableColumn id="10" xr3:uid="{D0CD99B1-85DE-4773-85AE-3790761F93B4}" name="Emissions (Kg CH4)"/>
    <tableColumn id="11" xr3:uid="{9FA63013-E02B-4D63-A40B-AC5EF49D03A6}" name="Emissions (Kg N2O)"/>
    <tableColumn id="12" xr3:uid="{40181202-1C28-4B98-B80A-F66EA6C2C04F}" name="GWP (CO2)"/>
    <tableColumn id="13" xr3:uid="{76ED84B1-0626-4B1B-B288-61C51125830D}" name="GWP (CH4)"/>
    <tableColumn id="14" xr3:uid="{691B3BA8-0F41-415C-9F2B-19291A5EE519}" name="GWP (N2O)"/>
    <tableColumn id="15" xr3:uid="{E5DB5D9B-2385-4EF0-B68F-68FC79D11FCC}" name="Emissions (Kg CO2e)"/>
  </tableColumns>
  <tableStyleInfo name="TableStyleMedium2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0FE6FFC-85F2-4401-9A2F-445DD98CC45E}" name="Table15" displayName="Table15" ref="A14:E15" totalsRowShown="0">
  <autoFilter ref="A14:E15" xr:uid="{C0FE6FFC-85F2-4401-9A2F-445DD98CC45E}"/>
  <tableColumns count="5">
    <tableColumn id="1" xr3:uid="{C2EAAB7A-9833-471C-8A13-9BECBC9C3C9D}" name="Good "/>
    <tableColumn id="2" xr3:uid="{07D0E364-7C79-4848-A5B6-AF4DA9781B6C}" name="Quantity (Kg)"/>
    <tableColumn id="3" xr3:uid="{79E4EA1C-42A8-4BFA-9FE0-E3D22902D547}" name="Emission Factor (Kg CO2e / Kg aluminum)"/>
    <tableColumn id="4" xr3:uid="{F5676E4A-F22F-4001-9497-A309D3FBDF64}" name="Emissions (Kg CO2e)">
      <calculatedColumnFormula>B15*C15</calculatedColumnFormula>
    </tableColumn>
    <tableColumn id="5" xr3:uid="{2A3152FC-C2B4-4FA4-82EB-E281161F8AC3}" name="Emissions (tCO2e)">
      <calculatedColumnFormula>D15/1000</calculatedColumnFormula>
    </tableColumn>
  </tableColumns>
  <tableStyleInfo name="TableStyleMedium2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BC1CA16-6694-4F14-9191-C192361A57DF}" name="Table16" displayName="Table16" ref="A18:P19" totalsRowShown="0">
  <autoFilter ref="A18:P19" xr:uid="{EBC1CA16-6694-4F14-9191-C192361A57DF}"/>
  <tableColumns count="16">
    <tableColumn id="1" xr3:uid="{2066579B-6516-4C73-AB9A-671581F883EA}" name="Good"/>
    <tableColumn id="2" xr3:uid="{E8164168-9434-4D8B-8337-12614BC12D45}" name="Quantity (Kg)"/>
    <tableColumn id="3" xr3:uid="{C606BC44-BB03-40CB-9141-6F5628BE4E33}" name="Mode "/>
    <tableColumn id="4" xr3:uid="{26119C5A-3D5E-4423-B29F-7BC36BBE9F1A}" name="Distance (Km)"/>
    <tableColumn id="5" xr3:uid="{8239694E-54A2-4E3C-98BE-D0319DB0737B}" name="Quantity (short ton)">
      <calculatedColumnFormula>B19/907.185</calculatedColumnFormula>
    </tableColumn>
    <tableColumn id="6" xr3:uid="{E483A166-E793-4E75-B322-DA87E9ECA403}" name="Distance (miles)">
      <calculatedColumnFormula>D19*0.621371</calculatedColumnFormula>
    </tableColumn>
    <tableColumn id="7" xr3:uid="{AF7733B2-E024-40F5-A080-DE342AF6620E}" name="Activity unit (short ton-miles)">
      <calculatedColumnFormula>E19*F19</calculatedColumnFormula>
    </tableColumn>
    <tableColumn id="8" xr3:uid="{25B2E28A-F995-48CD-8D85-AA9303C46BB2}" name="Emissions factor (Kg CO2 / short ton-mile)"/>
    <tableColumn id="9" xr3:uid="{84E4F9EF-7D39-4CBB-ACAE-1EFE92A9E9C8}" name="Emissions factor (g CH4 / short ton-mile)"/>
    <tableColumn id="10" xr3:uid="{84BF9DE2-724C-4165-B502-67254538955F}" name="Emissions factor (g N2O / short ton-mile)"/>
    <tableColumn id="11" xr3:uid="{EFCF530A-D5B4-44B7-B73B-3D53CA389250}" name="Emissions (Kg CO2)">
      <calculatedColumnFormula>G19*H19</calculatedColumnFormula>
    </tableColumn>
    <tableColumn id="12" xr3:uid="{D735B780-3014-4797-8C11-42655D9AAB95}" name="Emissions (Kg CH4)">
      <calculatedColumnFormula>(G19*I19)/1000</calculatedColumnFormula>
    </tableColumn>
    <tableColumn id="13" xr3:uid="{2CACD37B-6F70-4D4F-8498-B09718FA13B2}" name="Emissions (Kg N2O)">
      <calculatedColumnFormula>(G19*J19)/1000</calculatedColumnFormula>
    </tableColumn>
    <tableColumn id="14" xr3:uid="{E8B77146-A80F-470E-A74D-343B5BD9B2D2}" name="Emissions (Kg CO2e)">
      <calculatedColumnFormula>K19*1</calculatedColumnFormula>
    </tableColumn>
    <tableColumn id="15" xr3:uid="{0329271F-7690-4FFD-A3CB-6D418A65C6D1}" name="Emissions (Kg CO2e)2">
      <calculatedColumnFormula>L19*28</calculatedColumnFormula>
    </tableColumn>
    <tableColumn id="16" xr3:uid="{FFABA833-6344-4E27-A3C2-B4E4522A3BF1}" name="Emissions (Kg CO2e)3">
      <calculatedColumnFormula>M19*265</calculatedColumnFormula>
    </tableColumn>
  </tableColumns>
  <tableStyleInfo name="TableStyleMedium2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D7E76C5-70FC-4D19-B3AF-7B8B07BF1B1A}" name="Table19" displayName="Table19" ref="AA8:AB10" totalsRowShown="0">
  <autoFilter ref="AA8:AB10" xr:uid="{7D7E76C5-70FC-4D19-B3AF-7B8B07BF1B1A}"/>
  <tableColumns count="2">
    <tableColumn id="1" xr3:uid="{B7022664-00B8-4A7B-978C-D0DF5338A168}" name="Scenario" dataDxfId="55"/>
    <tableColumn id="2" xr3:uid="{4D6D9EDF-B193-4093-8E87-46A6A3B2CD46}" name="Emissions (tCO₂e)" dataDxfId="54"/>
  </tableColumns>
  <tableStyleInfo name="TableStyleMedium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4E8018B-B1D8-4D38-8D8F-63030C9BE6EF}" name="Table20" displayName="Table20" ref="X8:Y12" totalsRowShown="0" headerRowDxfId="53" dataDxfId="52">
  <autoFilter ref="X8:Y12" xr:uid="{24E8018B-B1D8-4D38-8D8F-63030C9BE6EF}"/>
  <tableColumns count="2">
    <tableColumn id="1" xr3:uid="{0377CB90-99D4-4B38-9F01-FAB474FCE4F9}" name="Metric" dataDxfId="51"/>
    <tableColumn id="2" xr3:uid="{160B4CB2-5902-4E2C-B716-C4DEA2357588}" name="Result (tCO2e)" dataDxfId="50"/>
  </tableColumns>
  <tableStyleInfo name="TableStyleMedium2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6129A2F-439C-4A85-AC0D-579219B6E321}" name="Table2022" displayName="Table2022" ref="M8:N12" totalsRowShown="0" headerRowDxfId="49" dataDxfId="48">
  <autoFilter ref="M8:N12" xr:uid="{66129A2F-439C-4A85-AC0D-579219B6E321}"/>
  <tableColumns count="2">
    <tableColumn id="1" xr3:uid="{FD72DEDD-9332-476F-B192-3C3A2877C9CB}" name="Metric" dataDxfId="47"/>
    <tableColumn id="2" xr3:uid="{027874A8-35F7-4E60-A35E-7D515CD3A30D}" name="Result (tCO2e)" dataDxfId="46"/>
  </tableColumns>
  <tableStyleInfo name="TableStyleMedium2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8690EBF-4D74-48DF-AD3F-831D2E7384D6}" name="Table1923" displayName="Table1923" ref="P8:Q10" totalsRowShown="0">
  <autoFilter ref="P8:Q10" xr:uid="{78690EBF-4D74-48DF-AD3F-831D2E7384D6}"/>
  <tableColumns count="2">
    <tableColumn id="1" xr3:uid="{59215A2E-76E2-412D-AA6A-AC61A27D292D}" name="Scenario" dataDxfId="45"/>
    <tableColumn id="2" xr3:uid="{D0C9287F-CFFA-4509-955F-E418FEDFB1BD}" name="Emissions (tCO2e)" dataDxfId="44"/>
  </tableColumns>
  <tableStyleInfo name="TableStyleMedium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47FE217-101A-4893-B474-ECBFD1100A4D}" name="Table23" displayName="Table23" ref="J8:K10" totalsRowShown="0" headerRowDxfId="43">
  <autoFilter ref="J8:K10" xr:uid="{C47FE217-101A-4893-B474-ECBFD1100A4D}"/>
  <tableColumns count="2">
    <tableColumn id="1" xr3:uid="{42A3D643-9362-44C2-A84A-8EC4EED2D329}" name="Scope" dataDxfId="42"/>
    <tableColumn id="2" xr3:uid="{5F93E953-569F-4ABA-920F-7D56543AB5AD}" name="Emissions (tCO2e)"/>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3.bin"/><Relationship Id="rId5" Type="http://schemas.openxmlformats.org/officeDocument/2006/relationships/table" Target="../tables/table9.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5.bin"/><Relationship Id="rId5" Type="http://schemas.openxmlformats.org/officeDocument/2006/relationships/table" Target="../tables/table15.xml"/><Relationship Id="rId4"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rinterSettings" Target="../printerSettings/printerSettings7.bin"/><Relationship Id="rId7" Type="http://schemas.openxmlformats.org/officeDocument/2006/relationships/table" Target="../tables/table20.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9.xml"/><Relationship Id="rId5" Type="http://schemas.openxmlformats.org/officeDocument/2006/relationships/table" Target="../tables/table18.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4B04-6764-42F1-8AFE-0631154FAFD2}">
  <dimension ref="A1:N22"/>
  <sheetViews>
    <sheetView workbookViewId="0">
      <selection activeCell="B1" sqref="B1:B1048576"/>
    </sheetView>
  </sheetViews>
  <sheetFormatPr defaultRowHeight="14.5" x14ac:dyDescent="0.35"/>
  <cols>
    <col min="1" max="1" width="15.1796875" style="36" customWidth="1"/>
    <col min="2" max="2" width="8.7265625" style="36"/>
    <col min="3" max="3" width="17.26953125" style="36" bestFit="1" customWidth="1"/>
    <col min="4" max="4" width="10.6328125" style="36" customWidth="1"/>
    <col min="5" max="5" width="13.90625" style="36" bestFit="1" customWidth="1"/>
    <col min="6" max="6" width="7.81640625" customWidth="1"/>
    <col min="8" max="8" width="17.90625" bestFit="1" customWidth="1"/>
    <col min="9" max="9" width="19.26953125" bestFit="1" customWidth="1"/>
    <col min="10" max="10" width="15.453125" bestFit="1" customWidth="1"/>
    <col min="11" max="11" width="20" customWidth="1"/>
    <col min="12" max="12" width="35.7265625" bestFit="1" customWidth="1"/>
    <col min="14" max="14" width="9.6328125" bestFit="1" customWidth="1"/>
    <col min="15" max="15" width="17.08984375" customWidth="1"/>
  </cols>
  <sheetData>
    <row r="1" spans="1:14" ht="29" x14ac:dyDescent="0.35">
      <c r="A1" s="2" t="s">
        <v>27</v>
      </c>
      <c r="B1" s="2" t="s">
        <v>5</v>
      </c>
      <c r="C1" s="2" t="s">
        <v>11</v>
      </c>
      <c r="D1" s="2" t="s">
        <v>41</v>
      </c>
      <c r="E1" s="2" t="s">
        <v>6</v>
      </c>
      <c r="F1" s="8"/>
      <c r="G1" s="2" t="s">
        <v>27</v>
      </c>
      <c r="H1" s="2" t="s">
        <v>226</v>
      </c>
      <c r="I1" s="2" t="s">
        <v>93</v>
      </c>
      <c r="J1" s="2" t="s">
        <v>223</v>
      </c>
      <c r="K1" s="2" t="s">
        <v>6</v>
      </c>
      <c r="L1" s="2" t="s">
        <v>225</v>
      </c>
      <c r="M1" s="8"/>
      <c r="N1" s="8"/>
    </row>
    <row r="2" spans="1:14" ht="29" x14ac:dyDescent="0.35">
      <c r="A2" s="1">
        <v>2025</v>
      </c>
      <c r="B2" s="1" t="s">
        <v>0</v>
      </c>
      <c r="C2" s="1" t="s">
        <v>43</v>
      </c>
      <c r="D2" s="1">
        <v>18000</v>
      </c>
      <c r="E2" s="1" t="s">
        <v>42</v>
      </c>
      <c r="F2" s="8"/>
      <c r="G2" s="8">
        <v>2025</v>
      </c>
      <c r="H2" s="8" t="s">
        <v>227</v>
      </c>
      <c r="I2" s="8">
        <v>50</v>
      </c>
      <c r="J2" s="8">
        <v>20</v>
      </c>
      <c r="K2" s="8" t="s">
        <v>224</v>
      </c>
      <c r="L2" s="8">
        <v>250</v>
      </c>
      <c r="M2" s="8"/>
      <c r="N2" s="8"/>
    </row>
    <row r="3" spans="1:14" ht="29" x14ac:dyDescent="0.35">
      <c r="A3" s="1">
        <v>2025</v>
      </c>
      <c r="B3" s="1" t="s">
        <v>0</v>
      </c>
      <c r="C3" s="1" t="s">
        <v>44</v>
      </c>
      <c r="D3" s="1">
        <v>12000</v>
      </c>
      <c r="E3" s="1" t="s">
        <v>42</v>
      </c>
      <c r="F3" s="8"/>
      <c r="G3" s="3" t="s">
        <v>27</v>
      </c>
      <c r="H3" s="3" t="s">
        <v>226</v>
      </c>
      <c r="I3" s="3" t="s">
        <v>95</v>
      </c>
      <c r="J3" s="3" t="s">
        <v>230</v>
      </c>
      <c r="K3" s="3" t="s">
        <v>6</v>
      </c>
      <c r="L3" s="3" t="s">
        <v>232</v>
      </c>
      <c r="M3" s="8"/>
      <c r="N3" s="8"/>
    </row>
    <row r="4" spans="1:14" x14ac:dyDescent="0.35">
      <c r="A4" s="8">
        <v>2025</v>
      </c>
      <c r="B4" s="8" t="s">
        <v>0</v>
      </c>
      <c r="C4" s="8" t="s">
        <v>156</v>
      </c>
      <c r="D4" s="8">
        <v>25000</v>
      </c>
      <c r="E4" s="8" t="s">
        <v>159</v>
      </c>
      <c r="F4" s="8"/>
      <c r="G4" s="8">
        <v>2025</v>
      </c>
      <c r="H4" s="8" t="s">
        <v>228</v>
      </c>
      <c r="I4" s="8" t="s">
        <v>229</v>
      </c>
      <c r="J4" s="8">
        <v>10000</v>
      </c>
      <c r="K4" s="8" t="s">
        <v>231</v>
      </c>
      <c r="L4" s="8" t="s">
        <v>99</v>
      </c>
      <c r="M4" s="8"/>
      <c r="N4" s="8"/>
    </row>
    <row r="5" spans="1:14" ht="21.5" customHeight="1" x14ac:dyDescent="0.35">
      <c r="A5" s="8"/>
      <c r="B5" s="8"/>
      <c r="C5" s="8"/>
      <c r="D5" s="8"/>
      <c r="E5" s="8"/>
      <c r="F5" s="8"/>
      <c r="G5" s="2" t="s">
        <v>75</v>
      </c>
      <c r="H5" s="2" t="s">
        <v>226</v>
      </c>
      <c r="I5" s="3" t="s">
        <v>108</v>
      </c>
      <c r="J5" s="3" t="s">
        <v>234</v>
      </c>
      <c r="K5" s="3" t="s">
        <v>6</v>
      </c>
      <c r="M5" s="8"/>
      <c r="N5" s="8"/>
    </row>
    <row r="6" spans="1:14" ht="29" x14ac:dyDescent="0.35">
      <c r="A6" s="2" t="s">
        <v>27</v>
      </c>
      <c r="B6" s="2" t="s">
        <v>5</v>
      </c>
      <c r="C6" s="2" t="s">
        <v>11</v>
      </c>
      <c r="D6" s="2" t="s">
        <v>70</v>
      </c>
      <c r="E6" s="2" t="s">
        <v>6</v>
      </c>
      <c r="F6" s="8"/>
      <c r="G6" s="42">
        <v>2025</v>
      </c>
      <c r="H6" s="42" t="s">
        <v>233</v>
      </c>
      <c r="I6" s="42" t="s">
        <v>109</v>
      </c>
      <c r="J6" s="42">
        <v>10000</v>
      </c>
      <c r="K6" s="8" t="s">
        <v>241</v>
      </c>
      <c r="L6" s="8"/>
      <c r="M6" s="8"/>
      <c r="N6" s="8"/>
    </row>
    <row r="7" spans="1:14" ht="43.5" x14ac:dyDescent="0.35">
      <c r="A7" s="1">
        <v>2025</v>
      </c>
      <c r="B7" s="1" t="s">
        <v>1</v>
      </c>
      <c r="C7" s="1" t="s">
        <v>72</v>
      </c>
      <c r="D7" s="9" t="str">
        <f>SUBSTITUTE("500,000",",","")</f>
        <v>500000</v>
      </c>
      <c r="E7" s="1" t="s">
        <v>239</v>
      </c>
      <c r="F7" s="8"/>
      <c r="G7" s="3" t="s">
        <v>27</v>
      </c>
      <c r="H7" s="3" t="s">
        <v>226</v>
      </c>
      <c r="I7" s="3" t="s">
        <v>114</v>
      </c>
      <c r="J7" s="3" t="s">
        <v>234</v>
      </c>
      <c r="K7" s="3" t="s">
        <v>236</v>
      </c>
      <c r="L7" s="3" t="s">
        <v>95</v>
      </c>
      <c r="M7" s="3" t="s">
        <v>237</v>
      </c>
      <c r="N7" s="3" t="s">
        <v>236</v>
      </c>
    </row>
    <row r="8" spans="1:14" ht="43.5" x14ac:dyDescent="0.35">
      <c r="A8" s="8">
        <v>2025</v>
      </c>
      <c r="B8" s="8" t="s">
        <v>1</v>
      </c>
      <c r="C8" s="35" t="s">
        <v>84</v>
      </c>
      <c r="D8" s="8">
        <v>300</v>
      </c>
      <c r="E8" s="8" t="s">
        <v>240</v>
      </c>
      <c r="F8" s="8"/>
      <c r="G8" s="8">
        <v>2025</v>
      </c>
      <c r="H8" s="8" t="s">
        <v>235</v>
      </c>
      <c r="I8" s="8" t="s">
        <v>109</v>
      </c>
      <c r="J8" s="8">
        <v>10000</v>
      </c>
      <c r="K8" s="8" t="s">
        <v>241</v>
      </c>
      <c r="L8" s="8" t="s">
        <v>238</v>
      </c>
      <c r="M8" s="8">
        <v>5000</v>
      </c>
      <c r="N8" s="8" t="s">
        <v>242</v>
      </c>
    </row>
    <row r="9" spans="1:14" x14ac:dyDescent="0.35">
      <c r="A9" s="8"/>
      <c r="B9" s="8"/>
      <c r="C9" s="8"/>
      <c r="D9" s="8"/>
      <c r="E9" s="8"/>
      <c r="F9" s="8"/>
      <c r="G9" s="8"/>
      <c r="H9" s="8"/>
      <c r="I9" s="8"/>
      <c r="J9" s="8"/>
      <c r="K9" s="8"/>
      <c r="L9" s="8"/>
      <c r="M9" s="8"/>
      <c r="N9" s="8"/>
    </row>
    <row r="10" spans="1:14" x14ac:dyDescent="0.35">
      <c r="A10" s="2"/>
      <c r="B10" s="2"/>
      <c r="C10" s="2"/>
      <c r="D10" s="2"/>
      <c r="E10" s="2"/>
      <c r="F10" s="8"/>
    </row>
    <row r="11" spans="1:14" x14ac:dyDescent="0.35">
      <c r="A11" s="8"/>
      <c r="B11" s="8"/>
      <c r="C11" s="8"/>
      <c r="D11" s="8"/>
      <c r="E11" s="8"/>
      <c r="F11" s="8"/>
    </row>
    <row r="17" spans="1:1" x14ac:dyDescent="0.35">
      <c r="A17" s="2"/>
    </row>
    <row r="18" spans="1:1" x14ac:dyDescent="0.35">
      <c r="A18" s="1"/>
    </row>
    <row r="19" spans="1:1" x14ac:dyDescent="0.35">
      <c r="A19" s="1"/>
    </row>
    <row r="20" spans="1:1" x14ac:dyDescent="0.35">
      <c r="A20" s="1"/>
    </row>
    <row r="21" spans="1:1" x14ac:dyDescent="0.35">
      <c r="A21" s="1"/>
    </row>
    <row r="22" spans="1:1" x14ac:dyDescent="0.35">
      <c r="A22" s="1"/>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23BC-85CF-466E-9815-CADCBDEDD49E}">
  <dimension ref="A1:S20"/>
  <sheetViews>
    <sheetView topLeftCell="J1" workbookViewId="0">
      <selection activeCell="N9" sqref="N9"/>
    </sheetView>
  </sheetViews>
  <sheetFormatPr defaultRowHeight="14.5" x14ac:dyDescent="0.35"/>
  <cols>
    <col min="1" max="1" width="56.6328125" bestFit="1" customWidth="1"/>
    <col min="3" max="3" width="17.36328125" bestFit="1" customWidth="1"/>
    <col min="4" max="4" width="18.81640625" customWidth="1"/>
    <col min="7" max="7" width="16.26953125" customWidth="1"/>
    <col min="8" max="8" width="14.7265625" bestFit="1" customWidth="1"/>
    <col min="9" max="9" width="15.90625" customWidth="1"/>
    <col min="10" max="10" width="12.453125" customWidth="1"/>
    <col min="11" max="11" width="11.6328125" customWidth="1"/>
    <col min="12" max="12" width="9.54296875" customWidth="1"/>
    <col min="13" max="13" width="26.7265625" bestFit="1" customWidth="1"/>
    <col min="14" max="14" width="41.81640625" bestFit="1" customWidth="1"/>
    <col min="15" max="15" width="10.1796875" customWidth="1"/>
    <col min="16" max="16" width="15.1796875" bestFit="1" customWidth="1"/>
    <col min="17" max="17" width="26.36328125" customWidth="1"/>
    <col min="18" max="18" width="11.54296875" customWidth="1"/>
    <col min="20" max="20" width="30.81640625" bestFit="1" customWidth="1"/>
    <col min="21" max="21" width="22.81640625" customWidth="1"/>
    <col min="23" max="23" width="26.7265625" bestFit="1" customWidth="1"/>
    <col min="24" max="24" width="20.453125" bestFit="1" customWidth="1"/>
  </cols>
  <sheetData>
    <row r="1" spans="1:17" x14ac:dyDescent="0.35">
      <c r="A1" s="3" t="s">
        <v>26</v>
      </c>
      <c r="C1" s="2" t="s">
        <v>9</v>
      </c>
      <c r="D1" s="2" t="s">
        <v>10</v>
      </c>
      <c r="F1" s="2" t="s">
        <v>5</v>
      </c>
      <c r="G1" s="2" t="s">
        <v>196</v>
      </c>
      <c r="H1" s="2" t="s">
        <v>197</v>
      </c>
      <c r="I1" s="2" t="s">
        <v>3</v>
      </c>
      <c r="J1" s="2" t="s">
        <v>6</v>
      </c>
      <c r="K1" s="2" t="s">
        <v>11</v>
      </c>
      <c r="M1" s="2" t="s">
        <v>62</v>
      </c>
      <c r="N1" s="2" t="s">
        <v>63</v>
      </c>
      <c r="P1" s="2" t="s">
        <v>216</v>
      </c>
      <c r="Q1" s="2" t="s">
        <v>217</v>
      </c>
    </row>
    <row r="2" spans="1:17" ht="29" x14ac:dyDescent="0.35">
      <c r="A2" s="8" t="s">
        <v>243</v>
      </c>
      <c r="C2" s="1" t="s">
        <v>11</v>
      </c>
      <c r="D2" s="1" t="s">
        <v>12</v>
      </c>
      <c r="F2" s="1" t="s">
        <v>0</v>
      </c>
      <c r="G2" s="1" t="s">
        <v>198</v>
      </c>
      <c r="H2" s="1" t="s">
        <v>264</v>
      </c>
      <c r="I2" s="1">
        <v>53.06</v>
      </c>
      <c r="J2" s="1" t="s">
        <v>287</v>
      </c>
      <c r="K2" s="1" t="s">
        <v>21</v>
      </c>
      <c r="M2" t="s">
        <v>268</v>
      </c>
      <c r="N2" t="s">
        <v>281</v>
      </c>
      <c r="P2" s="37" t="s">
        <v>210</v>
      </c>
      <c r="Q2" s="37" t="s">
        <v>220</v>
      </c>
    </row>
    <row r="3" spans="1:17" ht="29" x14ac:dyDescent="0.35">
      <c r="A3" s="8" t="s">
        <v>280</v>
      </c>
      <c r="C3" s="1" t="s">
        <v>5</v>
      </c>
      <c r="D3" s="1" t="s">
        <v>13</v>
      </c>
      <c r="F3" s="1" t="s">
        <v>0</v>
      </c>
      <c r="G3" s="1" t="s">
        <v>198</v>
      </c>
      <c r="H3" s="1" t="s">
        <v>265</v>
      </c>
      <c r="I3" s="1">
        <v>1</v>
      </c>
      <c r="J3" s="1" t="s">
        <v>286</v>
      </c>
      <c r="K3" s="1" t="s">
        <v>21</v>
      </c>
      <c r="M3" t="s">
        <v>269</v>
      </c>
      <c r="N3" t="s">
        <v>282</v>
      </c>
      <c r="P3" s="37" t="s">
        <v>211</v>
      </c>
      <c r="Q3" s="37" t="s">
        <v>212</v>
      </c>
    </row>
    <row r="4" spans="1:17" ht="43.5" x14ac:dyDescent="0.35">
      <c r="A4" s="8" t="s">
        <v>8</v>
      </c>
      <c r="C4" s="1" t="s">
        <v>14</v>
      </c>
      <c r="D4" s="1" t="s">
        <v>15</v>
      </c>
      <c r="F4" s="1" t="s">
        <v>0</v>
      </c>
      <c r="G4" s="1" t="s">
        <v>198</v>
      </c>
      <c r="H4" s="1" t="s">
        <v>266</v>
      </c>
      <c r="I4" s="1">
        <v>0.1</v>
      </c>
      <c r="J4" s="1" t="s">
        <v>285</v>
      </c>
      <c r="K4" s="1" t="s">
        <v>21</v>
      </c>
      <c r="N4" t="s">
        <v>270</v>
      </c>
      <c r="P4" s="37" t="s">
        <v>283</v>
      </c>
      <c r="Q4" s="37" t="s">
        <v>214</v>
      </c>
    </row>
    <row r="5" spans="1:17" ht="29" x14ac:dyDescent="0.35">
      <c r="C5" s="1" t="s">
        <v>16</v>
      </c>
      <c r="D5" s="1" t="s">
        <v>17</v>
      </c>
      <c r="F5" s="1" t="s">
        <v>0</v>
      </c>
      <c r="G5" s="1" t="s">
        <v>46</v>
      </c>
      <c r="H5" s="1" t="s">
        <v>264</v>
      </c>
      <c r="I5" s="1">
        <v>8.89</v>
      </c>
      <c r="J5" s="1" t="s">
        <v>277</v>
      </c>
      <c r="K5" s="1" t="s">
        <v>21</v>
      </c>
      <c r="M5" t="s">
        <v>218</v>
      </c>
      <c r="N5" t="s">
        <v>271</v>
      </c>
      <c r="P5" s="37" t="s">
        <v>213</v>
      </c>
      <c r="Q5" s="37" t="s">
        <v>215</v>
      </c>
    </row>
    <row r="6" spans="1:17" x14ac:dyDescent="0.35">
      <c r="C6" s="1" t="s">
        <v>3</v>
      </c>
      <c r="D6" s="1" t="s">
        <v>18</v>
      </c>
      <c r="F6" s="1" t="s">
        <v>0</v>
      </c>
      <c r="G6" s="1" t="s">
        <v>47</v>
      </c>
      <c r="H6" s="1" t="s">
        <v>264</v>
      </c>
      <c r="I6" s="1">
        <v>10.210000000000001</v>
      </c>
      <c r="J6" s="1" t="s">
        <v>277</v>
      </c>
      <c r="K6" s="1" t="s">
        <v>21</v>
      </c>
      <c r="M6" t="s">
        <v>219</v>
      </c>
      <c r="N6" t="s">
        <v>69</v>
      </c>
      <c r="P6" s="8"/>
      <c r="Q6" s="8"/>
    </row>
    <row r="7" spans="1:17" ht="29" x14ac:dyDescent="0.35">
      <c r="C7" s="1" t="s">
        <v>19</v>
      </c>
      <c r="D7" s="1" t="s">
        <v>284</v>
      </c>
      <c r="F7" s="1" t="s">
        <v>0</v>
      </c>
      <c r="G7" s="1" t="s">
        <v>199</v>
      </c>
      <c r="H7" s="1" t="s">
        <v>59</v>
      </c>
      <c r="I7" s="1" t="s">
        <v>200</v>
      </c>
      <c r="J7" s="1" t="s">
        <v>278</v>
      </c>
      <c r="K7" s="1" t="s">
        <v>21</v>
      </c>
    </row>
    <row r="8" spans="1:17" ht="29" x14ac:dyDescent="0.35">
      <c r="C8" s="1" t="s">
        <v>20</v>
      </c>
      <c r="D8" s="1" t="s">
        <v>21</v>
      </c>
      <c r="F8" s="1" t="s">
        <v>1</v>
      </c>
      <c r="G8" s="1" t="s">
        <v>201</v>
      </c>
      <c r="H8" s="1" t="s">
        <v>267</v>
      </c>
      <c r="I8" s="1">
        <v>599.51</v>
      </c>
      <c r="J8" s="1" t="s">
        <v>276</v>
      </c>
      <c r="K8" s="1" t="s">
        <v>202</v>
      </c>
    </row>
    <row r="9" spans="1:17" ht="72.5" x14ac:dyDescent="0.35">
      <c r="C9" s="1" t="s">
        <v>22</v>
      </c>
      <c r="D9" s="1" t="s">
        <v>51</v>
      </c>
      <c r="F9" s="1" t="s">
        <v>203</v>
      </c>
      <c r="G9" s="1" t="s">
        <v>204</v>
      </c>
      <c r="H9" s="1" t="s">
        <v>264</v>
      </c>
      <c r="I9" s="1">
        <v>0.129</v>
      </c>
      <c r="J9" s="1" t="s">
        <v>279</v>
      </c>
      <c r="K9" s="1" t="s">
        <v>21</v>
      </c>
    </row>
    <row r="10" spans="1:17" ht="43.5" x14ac:dyDescent="0.35">
      <c r="C10" s="1" t="s">
        <v>23</v>
      </c>
      <c r="D10" s="1">
        <v>2025</v>
      </c>
      <c r="F10" s="1" t="s">
        <v>203</v>
      </c>
      <c r="G10" s="1" t="s">
        <v>204</v>
      </c>
      <c r="H10" s="1" t="s">
        <v>265</v>
      </c>
      <c r="I10" s="1">
        <v>5.9999999999999995E-4</v>
      </c>
      <c r="J10" s="1" t="s">
        <v>275</v>
      </c>
      <c r="K10" s="1" t="s">
        <v>21</v>
      </c>
    </row>
    <row r="11" spans="1:17" ht="43.5" x14ac:dyDescent="0.35">
      <c r="C11" s="1" t="s">
        <v>24</v>
      </c>
      <c r="D11" s="1" t="s">
        <v>25</v>
      </c>
      <c r="F11" s="1" t="s">
        <v>203</v>
      </c>
      <c r="G11" s="1" t="s">
        <v>204</v>
      </c>
      <c r="H11" s="1" t="s">
        <v>266</v>
      </c>
      <c r="I11" s="1">
        <v>4.1000000000000003E-3</v>
      </c>
      <c r="J11" s="1" t="s">
        <v>272</v>
      </c>
      <c r="K11" s="1" t="s">
        <v>21</v>
      </c>
    </row>
    <row r="12" spans="1:17" ht="43.5" x14ac:dyDescent="0.35">
      <c r="C12" s="1" t="s">
        <v>73</v>
      </c>
      <c r="D12" s="1" t="s">
        <v>74</v>
      </c>
      <c r="F12" s="1" t="s">
        <v>205</v>
      </c>
      <c r="G12" s="1" t="s">
        <v>109</v>
      </c>
      <c r="H12" s="1" t="s">
        <v>267</v>
      </c>
      <c r="I12" s="1" t="s">
        <v>206</v>
      </c>
      <c r="J12" s="1" t="s">
        <v>288</v>
      </c>
      <c r="K12" s="1" t="s">
        <v>207</v>
      </c>
    </row>
    <row r="13" spans="1:17" ht="29" x14ac:dyDescent="0.35">
      <c r="F13" s="1" t="s">
        <v>208</v>
      </c>
      <c r="G13" s="1" t="s">
        <v>209</v>
      </c>
      <c r="H13" s="1" t="s">
        <v>264</v>
      </c>
      <c r="I13" s="1">
        <v>0.186</v>
      </c>
      <c r="J13" s="1" t="s">
        <v>289</v>
      </c>
      <c r="K13" s="1" t="s">
        <v>21</v>
      </c>
    </row>
    <row r="14" spans="1:17" ht="29" x14ac:dyDescent="0.35">
      <c r="F14" s="1" t="s">
        <v>208</v>
      </c>
      <c r="G14" s="1" t="s">
        <v>209</v>
      </c>
      <c r="H14" s="1" t="s">
        <v>265</v>
      </c>
      <c r="I14" s="1">
        <v>1.6000000000000001E-3</v>
      </c>
      <c r="J14" s="1" t="s">
        <v>273</v>
      </c>
      <c r="K14" s="1" t="s">
        <v>21</v>
      </c>
    </row>
    <row r="15" spans="1:17" ht="29" x14ac:dyDescent="0.35">
      <c r="F15" s="1" t="s">
        <v>208</v>
      </c>
      <c r="G15" s="1" t="s">
        <v>209</v>
      </c>
      <c r="H15" s="1" t="s">
        <v>266</v>
      </c>
      <c r="I15" s="1">
        <v>5.4000000000000003E-3</v>
      </c>
      <c r="J15" s="1" t="s">
        <v>274</v>
      </c>
      <c r="K15" s="1" t="s">
        <v>21</v>
      </c>
    </row>
    <row r="17" spans="19:19" x14ac:dyDescent="0.35">
      <c r="S17" s="2"/>
    </row>
    <row r="18" spans="19:19" x14ac:dyDescent="0.35">
      <c r="S18" s="4"/>
    </row>
    <row r="19" spans="19:19" x14ac:dyDescent="0.35">
      <c r="S19" s="4"/>
    </row>
    <row r="20" spans="19:19" x14ac:dyDescent="0.35">
      <c r="S20" s="4"/>
    </row>
  </sheetData>
  <pageMargins left="0.7" right="0.7" top="0.75" bottom="0.75" header="0.3" footer="0.3"/>
  <pageSetup orientation="portrait" r:id="rId1"/>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43F4-80B9-464E-AE28-98AC1BFCDED7}">
  <dimension ref="A1:F20"/>
  <sheetViews>
    <sheetView workbookViewId="0">
      <selection activeCell="B11" sqref="B11"/>
    </sheetView>
  </sheetViews>
  <sheetFormatPr defaultRowHeight="14.5" x14ac:dyDescent="0.35"/>
  <cols>
    <col min="1" max="1" width="17.54296875" customWidth="1"/>
    <col min="2" max="2" width="18.81640625" customWidth="1"/>
    <col min="5" max="5" width="20.36328125" customWidth="1"/>
    <col min="6" max="6" width="31.6328125" customWidth="1"/>
  </cols>
  <sheetData>
    <row r="1" spans="1:6" x14ac:dyDescent="0.35">
      <c r="A1" s="2" t="s">
        <v>28</v>
      </c>
      <c r="B1" s="2" t="s">
        <v>29</v>
      </c>
      <c r="E1" s="2" t="s">
        <v>14</v>
      </c>
      <c r="F1" s="2" t="s">
        <v>29</v>
      </c>
    </row>
    <row r="2" spans="1:6" ht="72.5" x14ac:dyDescent="0.35">
      <c r="A2" s="1" t="s">
        <v>30</v>
      </c>
      <c r="B2" s="1">
        <v>2025</v>
      </c>
      <c r="E2" s="1" t="s">
        <v>160</v>
      </c>
      <c r="F2" s="1" t="s">
        <v>195</v>
      </c>
    </row>
    <row r="3" spans="1:6" ht="29" x14ac:dyDescent="0.35">
      <c r="A3" s="1" t="s">
        <v>31</v>
      </c>
      <c r="B3" s="1" t="s">
        <v>32</v>
      </c>
      <c r="E3" s="1" t="s">
        <v>161</v>
      </c>
      <c r="F3" s="1" t="s">
        <v>162</v>
      </c>
    </row>
    <row r="4" spans="1:6" ht="29" x14ac:dyDescent="0.35">
      <c r="A4" s="1" t="s">
        <v>33</v>
      </c>
      <c r="B4" s="1" t="s">
        <v>34</v>
      </c>
      <c r="E4" s="1" t="s">
        <v>163</v>
      </c>
      <c r="F4" s="1" t="s">
        <v>182</v>
      </c>
    </row>
    <row r="5" spans="1:6" ht="29" x14ac:dyDescent="0.35">
      <c r="A5" s="1" t="s">
        <v>35</v>
      </c>
      <c r="B5" s="1" t="s">
        <v>36</v>
      </c>
      <c r="E5" s="1" t="s">
        <v>164</v>
      </c>
      <c r="F5" s="1" t="s">
        <v>183</v>
      </c>
    </row>
    <row r="6" spans="1:6" ht="43.5" x14ac:dyDescent="0.35">
      <c r="A6" s="1" t="s">
        <v>37</v>
      </c>
      <c r="B6" s="1" t="s">
        <v>221</v>
      </c>
      <c r="E6" s="1" t="s">
        <v>187</v>
      </c>
      <c r="F6" s="1" t="s">
        <v>165</v>
      </c>
    </row>
    <row r="7" spans="1:6" ht="43.5" x14ac:dyDescent="0.35">
      <c r="A7" s="1" t="s">
        <v>37</v>
      </c>
      <c r="B7" s="8" t="s">
        <v>207</v>
      </c>
      <c r="E7" s="1" t="s">
        <v>188</v>
      </c>
      <c r="F7" s="1" t="s">
        <v>166</v>
      </c>
    </row>
    <row r="8" spans="1:6" ht="43.5" x14ac:dyDescent="0.35">
      <c r="A8" s="1" t="s">
        <v>38</v>
      </c>
      <c r="B8" s="1" t="s">
        <v>39</v>
      </c>
      <c r="E8" s="1" t="s">
        <v>189</v>
      </c>
      <c r="F8" s="1" t="s">
        <v>167</v>
      </c>
    </row>
    <row r="9" spans="1:6" ht="29" x14ac:dyDescent="0.35">
      <c r="E9" s="1" t="s">
        <v>190</v>
      </c>
      <c r="F9" s="1" t="s">
        <v>168</v>
      </c>
    </row>
    <row r="10" spans="1:6" ht="43.5" x14ac:dyDescent="0.35">
      <c r="E10" s="1" t="s">
        <v>191</v>
      </c>
      <c r="F10" s="1" t="s">
        <v>169</v>
      </c>
    </row>
    <row r="11" spans="1:6" ht="58" x14ac:dyDescent="0.35">
      <c r="E11" s="1" t="s">
        <v>192</v>
      </c>
      <c r="F11" s="1" t="s">
        <v>170</v>
      </c>
    </row>
    <row r="12" spans="1:6" ht="43.5" x14ac:dyDescent="0.35">
      <c r="E12" s="1" t="s">
        <v>171</v>
      </c>
      <c r="F12" s="1" t="s">
        <v>172</v>
      </c>
    </row>
    <row r="13" spans="1:6" ht="29" x14ac:dyDescent="0.35">
      <c r="E13" s="1" t="s">
        <v>193</v>
      </c>
      <c r="F13" s="1" t="s">
        <v>173</v>
      </c>
    </row>
    <row r="14" spans="1:6" ht="29" x14ac:dyDescent="0.35">
      <c r="E14" s="1" t="s">
        <v>194</v>
      </c>
      <c r="F14" s="1" t="s">
        <v>174</v>
      </c>
    </row>
    <row r="15" spans="1:6" ht="43.5" x14ac:dyDescent="0.35">
      <c r="E15" s="1" t="s">
        <v>186</v>
      </c>
      <c r="F15" s="1" t="s">
        <v>175</v>
      </c>
    </row>
    <row r="16" spans="1:6" ht="58" x14ac:dyDescent="0.35">
      <c r="E16" s="1" t="s">
        <v>185</v>
      </c>
      <c r="F16" s="1" t="s">
        <v>176</v>
      </c>
    </row>
    <row r="17" spans="5:6" x14ac:dyDescent="0.35">
      <c r="E17" s="1" t="s">
        <v>177</v>
      </c>
      <c r="F17" s="1" t="s">
        <v>178</v>
      </c>
    </row>
    <row r="18" spans="5:6" x14ac:dyDescent="0.35">
      <c r="E18" s="1" t="s">
        <v>177</v>
      </c>
      <c r="F18" s="1" t="s">
        <v>179</v>
      </c>
    </row>
    <row r="19" spans="5:6" ht="29" x14ac:dyDescent="0.35">
      <c r="E19" s="1" t="s">
        <v>177</v>
      </c>
      <c r="F19" s="1" t="s">
        <v>184</v>
      </c>
    </row>
    <row r="20" spans="5:6" ht="72.5" x14ac:dyDescent="0.35">
      <c r="E20" s="1" t="s">
        <v>180</v>
      </c>
      <c r="F20" s="1" t="s">
        <v>181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E47F4-AFC7-4B48-9E6A-EC2D4F4F91DD}">
  <dimension ref="A1:I19"/>
  <sheetViews>
    <sheetView zoomScale="60" zoomScaleNormal="60" workbookViewId="0">
      <selection activeCell="G22" sqref="G22"/>
    </sheetView>
  </sheetViews>
  <sheetFormatPr defaultRowHeight="14.5" x14ac:dyDescent="0.35"/>
  <cols>
    <col min="1" max="1" width="23.453125" bestFit="1" customWidth="1"/>
    <col min="2" max="2" width="26.81640625" bestFit="1" customWidth="1"/>
    <col min="3" max="3" width="40.7265625" bestFit="1" customWidth="1"/>
    <col min="4" max="4" width="21.453125" bestFit="1" customWidth="1"/>
    <col min="5" max="5" width="32.36328125" bestFit="1" customWidth="1"/>
    <col min="6" max="6" width="20.26953125" bestFit="1" customWidth="1"/>
    <col min="7" max="7" width="24.36328125" bestFit="1" customWidth="1"/>
    <col min="8" max="8" width="21.453125" bestFit="1" customWidth="1"/>
    <col min="9" max="9" width="19.81640625" bestFit="1" customWidth="1"/>
    <col min="10" max="10" width="12.36328125" customWidth="1"/>
    <col min="11" max="11" width="16.1796875" customWidth="1"/>
    <col min="13" max="13" width="39.26953125" bestFit="1" customWidth="1"/>
    <col min="14" max="14" width="26.54296875" bestFit="1" customWidth="1"/>
    <col min="15" max="15" width="38.1796875" customWidth="1"/>
    <col min="16" max="16" width="27.6328125" customWidth="1"/>
    <col min="17" max="17" width="30.1796875" customWidth="1"/>
    <col min="18" max="18" width="18.54296875" customWidth="1"/>
    <col min="19" max="19" width="22.6328125" customWidth="1"/>
    <col min="20" max="20" width="19.6328125" customWidth="1"/>
    <col min="21" max="21" width="17.90625" customWidth="1"/>
  </cols>
  <sheetData>
    <row r="1" spans="1:9" ht="29" x14ac:dyDescent="0.35">
      <c r="A1" s="2" t="s">
        <v>45</v>
      </c>
      <c r="B1" s="2" t="s">
        <v>48</v>
      </c>
      <c r="C1" s="2" t="s">
        <v>50</v>
      </c>
      <c r="D1" s="2" t="s">
        <v>260</v>
      </c>
      <c r="E1" s="2" t="s">
        <v>60</v>
      </c>
      <c r="F1" s="2" t="s">
        <v>61</v>
      </c>
      <c r="G1" s="8"/>
      <c r="H1" s="8"/>
      <c r="I1" s="8"/>
    </row>
    <row r="2" spans="1:9" x14ac:dyDescent="0.35">
      <c r="A2" s="8" t="s">
        <v>46</v>
      </c>
      <c r="B2" s="8" t="s">
        <v>49</v>
      </c>
      <c r="C2" s="8">
        <v>18000</v>
      </c>
      <c r="D2" s="8">
        <v>8.89</v>
      </c>
      <c r="E2" s="8">
        <f>C2*D2</f>
        <v>160020</v>
      </c>
      <c r="F2" s="8">
        <f>E2/1000</f>
        <v>160.02000000000001</v>
      </c>
      <c r="G2" s="8"/>
      <c r="H2" s="8"/>
      <c r="I2" s="8"/>
    </row>
    <row r="3" spans="1:9" x14ac:dyDescent="0.35">
      <c r="A3" s="8" t="s">
        <v>47</v>
      </c>
      <c r="B3" s="8" t="s">
        <v>49</v>
      </c>
      <c r="C3" s="8">
        <v>12000</v>
      </c>
      <c r="D3" s="8">
        <v>10.210000000000001</v>
      </c>
      <c r="E3" s="8">
        <v>122520</v>
      </c>
      <c r="F3" s="8">
        <v>122.52</v>
      </c>
      <c r="G3" s="8"/>
      <c r="H3" s="8"/>
      <c r="I3" s="8"/>
    </row>
    <row r="4" spans="1:9" x14ac:dyDescent="0.35">
      <c r="A4" s="3" t="s">
        <v>7</v>
      </c>
      <c r="B4" s="3"/>
      <c r="C4" s="3">
        <f>SUM(C2:C3)</f>
        <v>30000</v>
      </c>
      <c r="D4" s="3"/>
      <c r="E4" s="3">
        <f t="shared" ref="E4:F4" si="0">SUM(E2:E3)</f>
        <v>282540</v>
      </c>
      <c r="F4" s="3">
        <f t="shared" si="0"/>
        <v>282.54000000000002</v>
      </c>
      <c r="G4" s="8"/>
      <c r="H4" s="8"/>
      <c r="I4" s="8"/>
    </row>
    <row r="5" spans="1:9" x14ac:dyDescent="0.35">
      <c r="A5" s="8"/>
      <c r="B5" s="8"/>
      <c r="C5" s="8"/>
      <c r="D5" s="8"/>
      <c r="E5" s="8"/>
      <c r="F5" s="8"/>
      <c r="G5" s="8"/>
      <c r="H5" s="8"/>
      <c r="I5" s="8"/>
    </row>
    <row r="6" spans="1:9" x14ac:dyDescent="0.35">
      <c r="A6" s="8" t="s">
        <v>64</v>
      </c>
      <c r="B6" s="8" t="s">
        <v>53</v>
      </c>
      <c r="C6" s="8" t="s">
        <v>54</v>
      </c>
      <c r="D6" s="8" t="s">
        <v>55</v>
      </c>
      <c r="E6" s="8" t="s">
        <v>65</v>
      </c>
      <c r="F6" s="8" t="s">
        <v>253</v>
      </c>
      <c r="G6" s="8" t="s">
        <v>68</v>
      </c>
      <c r="H6" s="8" t="s">
        <v>60</v>
      </c>
      <c r="I6" s="8" t="s">
        <v>61</v>
      </c>
    </row>
    <row r="7" spans="1:9" x14ac:dyDescent="0.35">
      <c r="A7" s="8" t="s">
        <v>67</v>
      </c>
      <c r="B7" s="8" t="s">
        <v>52</v>
      </c>
      <c r="C7" s="8">
        <v>25000</v>
      </c>
      <c r="D7" s="8">
        <v>2500</v>
      </c>
      <c r="E7" s="8">
        <v>1</v>
      </c>
      <c r="F7" s="8">
        <f>(D7*E7)/1000</f>
        <v>2.5</v>
      </c>
      <c r="G7" s="8">
        <v>28</v>
      </c>
      <c r="H7" s="8">
        <f>F7*G7</f>
        <v>70</v>
      </c>
      <c r="I7" s="8">
        <f>H7/1000</f>
        <v>7.0000000000000007E-2</v>
      </c>
    </row>
    <row r="8" spans="1:9" x14ac:dyDescent="0.35">
      <c r="A8" s="3" t="s">
        <v>64</v>
      </c>
      <c r="B8" s="3" t="s">
        <v>53</v>
      </c>
      <c r="C8" s="3" t="s">
        <v>54</v>
      </c>
      <c r="D8" s="3" t="s">
        <v>55</v>
      </c>
      <c r="E8" s="3" t="s">
        <v>106</v>
      </c>
      <c r="F8" s="3" t="s">
        <v>254</v>
      </c>
      <c r="G8" s="3" t="s">
        <v>68</v>
      </c>
      <c r="H8" s="3" t="s">
        <v>60</v>
      </c>
      <c r="I8" s="3" t="s">
        <v>61</v>
      </c>
    </row>
    <row r="9" spans="1:9" x14ac:dyDescent="0.35">
      <c r="A9" s="8" t="s">
        <v>66</v>
      </c>
      <c r="B9" s="8" t="s">
        <v>52</v>
      </c>
      <c r="C9" s="8">
        <v>25000</v>
      </c>
      <c r="D9" s="8">
        <v>2500</v>
      </c>
      <c r="E9" s="8">
        <v>0.1</v>
      </c>
      <c r="F9" s="8">
        <f>(D9*E9)/1000</f>
        <v>0.25</v>
      </c>
      <c r="G9" s="8">
        <v>265</v>
      </c>
      <c r="H9" s="8">
        <f>F9*G9</f>
        <v>66.25</v>
      </c>
      <c r="I9" s="8">
        <f>H9/1000</f>
        <v>6.6250000000000003E-2</v>
      </c>
    </row>
    <row r="10" spans="1:9" x14ac:dyDescent="0.35">
      <c r="A10" s="8"/>
      <c r="B10" s="8"/>
      <c r="C10" s="8"/>
      <c r="D10" s="8"/>
      <c r="E10" s="8"/>
      <c r="F10" s="8"/>
      <c r="G10" s="8"/>
      <c r="H10" s="8"/>
      <c r="I10" s="8"/>
    </row>
    <row r="11" spans="1:9" x14ac:dyDescent="0.35">
      <c r="A11" s="8" t="s">
        <v>45</v>
      </c>
      <c r="B11" s="8" t="s">
        <v>53</v>
      </c>
      <c r="C11" s="8" t="s">
        <v>54</v>
      </c>
      <c r="D11" s="8" t="s">
        <v>55</v>
      </c>
      <c r="E11" s="8" t="s">
        <v>261</v>
      </c>
      <c r="F11" s="8" t="s">
        <v>252</v>
      </c>
      <c r="G11" s="8" t="s">
        <v>56</v>
      </c>
      <c r="H11" s="8" t="s">
        <v>61</v>
      </c>
      <c r="I11" s="8"/>
    </row>
    <row r="12" spans="1:9" x14ac:dyDescent="0.35">
      <c r="A12" s="8" t="s">
        <v>57</v>
      </c>
      <c r="B12" s="8" t="s">
        <v>52</v>
      </c>
      <c r="C12" s="8">
        <v>25000</v>
      </c>
      <c r="D12" s="8">
        <f>C12*0.1</f>
        <v>2500</v>
      </c>
      <c r="E12" s="8">
        <v>53.06</v>
      </c>
      <c r="F12" s="8">
        <f>D12*E12</f>
        <v>132650</v>
      </c>
      <c r="G12" s="8">
        <f>F12/1000</f>
        <v>132.65</v>
      </c>
      <c r="H12" s="8">
        <f>Table9[[#This Row],[Emissions (tCO2)]]*1</f>
        <v>132.65</v>
      </c>
      <c r="I12" s="8"/>
    </row>
    <row r="13" spans="1:9" x14ac:dyDescent="0.35">
      <c r="A13" s="8"/>
      <c r="B13" s="8"/>
      <c r="C13" s="8"/>
      <c r="D13" s="8"/>
      <c r="E13" s="8"/>
      <c r="F13" s="8"/>
      <c r="G13" s="8"/>
      <c r="H13" s="8"/>
      <c r="I13" s="8"/>
    </row>
    <row r="14" spans="1:9" x14ac:dyDescent="0.35">
      <c r="A14" s="43" t="s">
        <v>64</v>
      </c>
      <c r="B14" s="44" t="s">
        <v>263</v>
      </c>
      <c r="C14" s="8"/>
      <c r="D14" s="8"/>
      <c r="E14" s="8"/>
      <c r="F14" s="8"/>
      <c r="G14" s="8"/>
      <c r="H14" s="8"/>
      <c r="I14" s="8"/>
    </row>
    <row r="15" spans="1:9" x14ac:dyDescent="0.35">
      <c r="A15" s="45" t="s">
        <v>57</v>
      </c>
      <c r="B15" s="46">
        <f>SUM(Table9[Emissions (tCO2)],I7,I9)</f>
        <v>132.78625</v>
      </c>
      <c r="C15" s="8"/>
      <c r="D15" s="8"/>
      <c r="E15" s="8"/>
      <c r="F15" s="8"/>
      <c r="G15" s="8"/>
      <c r="H15" s="8"/>
      <c r="I15" s="8"/>
    </row>
    <row r="16" spans="1:9" x14ac:dyDescent="0.35">
      <c r="A16" s="8"/>
      <c r="B16" s="8"/>
      <c r="C16" s="8"/>
      <c r="D16" s="8"/>
      <c r="E16" s="8"/>
      <c r="F16" s="8"/>
      <c r="G16" s="8"/>
      <c r="H16" s="8"/>
      <c r="I16" s="8"/>
    </row>
    <row r="17" spans="1:9" x14ac:dyDescent="0.35">
      <c r="A17" s="8"/>
      <c r="B17" s="8"/>
      <c r="C17" s="8"/>
      <c r="D17" s="8"/>
      <c r="E17" s="8"/>
      <c r="F17" s="8"/>
      <c r="G17" s="8"/>
      <c r="H17" s="8"/>
      <c r="I17" s="8"/>
    </row>
    <row r="18" spans="1:9" x14ac:dyDescent="0.35">
      <c r="A18" s="8" t="s">
        <v>58</v>
      </c>
      <c r="B18" s="8" t="s">
        <v>249</v>
      </c>
      <c r="C18" s="8" t="s">
        <v>262</v>
      </c>
      <c r="D18" s="8" t="s">
        <v>60</v>
      </c>
      <c r="E18" s="8" t="s">
        <v>61</v>
      </c>
      <c r="F18" s="8"/>
      <c r="G18" s="8"/>
      <c r="H18" s="8"/>
      <c r="I18" s="8"/>
    </row>
    <row r="19" spans="1:9" x14ac:dyDescent="0.35">
      <c r="A19" s="8" t="s">
        <v>59</v>
      </c>
      <c r="B19" s="8">
        <v>20</v>
      </c>
      <c r="C19" s="8">
        <v>2088</v>
      </c>
      <c r="D19" s="8">
        <f>B19*C19</f>
        <v>41760</v>
      </c>
      <c r="E19" s="8">
        <f>D19/1000</f>
        <v>41.76</v>
      </c>
      <c r="F19" s="8"/>
      <c r="G19" s="8"/>
      <c r="H19" s="8"/>
      <c r="I19" s="8"/>
    </row>
  </sheetData>
  <phoneticPr fontId="2" type="noConversion"/>
  <pageMargins left="0.7" right="0.7" top="0.75" bottom="0.75" header="0.3" footer="0.3"/>
  <pageSetup orientation="portrait"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DA13-13A9-4288-AD09-52540F4968C4}">
  <dimension ref="A1:K13"/>
  <sheetViews>
    <sheetView zoomScale="70" zoomScaleNormal="70" workbookViewId="0">
      <selection activeCell="F14" sqref="F14"/>
    </sheetView>
  </sheetViews>
  <sheetFormatPr defaultRowHeight="14.5" x14ac:dyDescent="0.35"/>
  <cols>
    <col min="1" max="1" width="15.08984375" bestFit="1" customWidth="1"/>
    <col min="2" max="2" width="34.453125" bestFit="1" customWidth="1"/>
    <col min="3" max="3" width="34.26953125" bestFit="1" customWidth="1"/>
    <col min="4" max="4" width="20.36328125" customWidth="1"/>
    <col min="5" max="5" width="12" customWidth="1"/>
    <col min="6" max="6" width="37.26953125" customWidth="1"/>
    <col min="7" max="8" width="31.6328125" customWidth="1"/>
    <col min="9" max="10" width="20.08984375" customWidth="1"/>
    <col min="11" max="11" width="18.54296875" customWidth="1"/>
  </cols>
  <sheetData>
    <row r="1" spans="1:11" x14ac:dyDescent="0.35">
      <c r="A1" s="11" t="s">
        <v>83</v>
      </c>
      <c r="B1" t="s">
        <v>87</v>
      </c>
    </row>
    <row r="2" spans="1:11" x14ac:dyDescent="0.35">
      <c r="A2" s="3" t="s">
        <v>75</v>
      </c>
      <c r="B2" s="3" t="s">
        <v>4</v>
      </c>
      <c r="C2" s="2" t="s">
        <v>11</v>
      </c>
      <c r="D2" s="2" t="s">
        <v>70</v>
      </c>
      <c r="E2" s="2" t="s">
        <v>6</v>
      </c>
      <c r="F2" s="2" t="s">
        <v>79</v>
      </c>
      <c r="G2" s="2" t="s">
        <v>77</v>
      </c>
      <c r="H2" s="2" t="s">
        <v>80</v>
      </c>
      <c r="I2" s="2" t="s">
        <v>60</v>
      </c>
      <c r="J2" s="2" t="s">
        <v>61</v>
      </c>
    </row>
    <row r="3" spans="1:11" ht="43.5" x14ac:dyDescent="0.35">
      <c r="A3" s="8">
        <v>2025</v>
      </c>
      <c r="B3" s="8" t="s">
        <v>76</v>
      </c>
      <c r="C3" s="4" t="s">
        <v>72</v>
      </c>
      <c r="D3" s="9" t="str">
        <f>SUBSTITUTE("500,000",",","")</f>
        <v>500000</v>
      </c>
      <c r="E3" s="4" t="s">
        <v>71</v>
      </c>
      <c r="F3" s="4">
        <f>D3/1000</f>
        <v>500</v>
      </c>
      <c r="G3" s="8">
        <v>599.16999999999996</v>
      </c>
      <c r="H3" s="8">
        <f>F3*G3</f>
        <v>299585</v>
      </c>
      <c r="I3" s="8">
        <f>H3/2.20462</f>
        <v>135889.63177327614</v>
      </c>
      <c r="J3" s="8">
        <f>I3/1000</f>
        <v>135.88963177327614</v>
      </c>
    </row>
    <row r="4" spans="1:11" x14ac:dyDescent="0.35">
      <c r="A4" s="10" t="s">
        <v>82</v>
      </c>
      <c r="B4" s="8" t="s">
        <v>88</v>
      </c>
      <c r="C4" s="4"/>
      <c r="D4" s="9"/>
      <c r="E4" s="4"/>
      <c r="F4" s="4"/>
      <c r="G4" s="8"/>
      <c r="H4" s="8"/>
      <c r="I4" s="8"/>
      <c r="J4" s="8"/>
    </row>
    <row r="5" spans="1:11" x14ac:dyDescent="0.35">
      <c r="A5" s="3" t="s">
        <v>75</v>
      </c>
      <c r="B5" s="3" t="s">
        <v>4</v>
      </c>
      <c r="C5" s="2" t="s">
        <v>11</v>
      </c>
      <c r="D5" s="2" t="s">
        <v>81</v>
      </c>
      <c r="E5" s="2" t="s">
        <v>6</v>
      </c>
      <c r="F5" s="2" t="s">
        <v>84</v>
      </c>
      <c r="G5" s="2" t="s">
        <v>85</v>
      </c>
      <c r="H5" s="2" t="s">
        <v>77</v>
      </c>
      <c r="I5" s="2" t="s">
        <v>80</v>
      </c>
      <c r="J5" s="2" t="s">
        <v>60</v>
      </c>
      <c r="K5" s="2" t="s">
        <v>61</v>
      </c>
    </row>
    <row r="6" spans="1:11" x14ac:dyDescent="0.35">
      <c r="A6" s="8">
        <v>2025</v>
      </c>
      <c r="B6" s="8" t="s">
        <v>76</v>
      </c>
      <c r="C6" s="1" t="s">
        <v>72</v>
      </c>
      <c r="D6" s="8">
        <v>500</v>
      </c>
      <c r="E6" s="8" t="s">
        <v>78</v>
      </c>
      <c r="F6" s="8">
        <v>300</v>
      </c>
      <c r="G6" s="8" t="s">
        <v>86</v>
      </c>
      <c r="H6" s="8">
        <v>0</v>
      </c>
      <c r="I6" s="8">
        <v>0</v>
      </c>
      <c r="J6" s="8">
        <v>0</v>
      </c>
      <c r="K6" s="8">
        <v>0</v>
      </c>
    </row>
    <row r="7" spans="1:11" x14ac:dyDescent="0.35">
      <c r="A7" s="8">
        <v>2025</v>
      </c>
      <c r="B7" s="8" t="s">
        <v>76</v>
      </c>
      <c r="C7" s="1" t="s">
        <v>72</v>
      </c>
      <c r="D7" s="8">
        <v>500</v>
      </c>
      <c r="E7" s="8" t="s">
        <v>78</v>
      </c>
      <c r="F7" s="8" t="s">
        <v>86</v>
      </c>
      <c r="G7" s="8">
        <v>200</v>
      </c>
      <c r="H7" s="8">
        <v>450</v>
      </c>
      <c r="I7" s="8">
        <f>G7*H7</f>
        <v>90000</v>
      </c>
      <c r="J7" s="8">
        <f>I7/2.20462</f>
        <v>40823.361849207577</v>
      </c>
      <c r="K7" s="8">
        <f>J7/1000</f>
        <v>40.823361849207579</v>
      </c>
    </row>
    <row r="9" spans="1:11" x14ac:dyDescent="0.35">
      <c r="A9" s="14" t="s">
        <v>89</v>
      </c>
      <c r="B9" s="15">
        <f>J3</f>
        <v>135.88963177327614</v>
      </c>
    </row>
    <row r="10" spans="1:11" x14ac:dyDescent="0.35">
      <c r="A10" s="14" t="s">
        <v>90</v>
      </c>
      <c r="B10" s="15">
        <f>K7</f>
        <v>40.823361849207579</v>
      </c>
    </row>
    <row r="12" spans="1:11" x14ac:dyDescent="0.35">
      <c r="A12" s="5" t="s">
        <v>91</v>
      </c>
    </row>
    <row r="13" spans="1:11" x14ac:dyDescent="0.35">
      <c r="A13" s="5" t="s">
        <v>92</v>
      </c>
    </row>
  </sheetData>
  <pageMargins left="0.7" right="0.7" top="0.75" bottom="0.75" header="0.3" footer="0.3"/>
  <pageSetup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ACF0-17DE-4E45-9968-2DD469D4FC0A}">
  <dimension ref="A1:P21"/>
  <sheetViews>
    <sheetView zoomScale="70" zoomScaleNormal="70" workbookViewId="0">
      <selection activeCell="D25" sqref="D25"/>
    </sheetView>
  </sheetViews>
  <sheetFormatPr defaultRowHeight="14.5" x14ac:dyDescent="0.35"/>
  <cols>
    <col min="1" max="1" width="44.54296875" bestFit="1" customWidth="1"/>
    <col min="2" max="2" width="36.54296875" bestFit="1" customWidth="1"/>
    <col min="3" max="3" width="37" customWidth="1"/>
    <col min="4" max="4" width="36" customWidth="1"/>
    <col min="5" max="5" width="29.6328125" customWidth="1"/>
    <col min="6" max="6" width="22.1796875" customWidth="1"/>
    <col min="7" max="7" width="27.36328125" customWidth="1"/>
    <col min="8" max="8" width="37.36328125" customWidth="1"/>
    <col min="9" max="9" width="36.36328125" customWidth="1"/>
    <col min="10" max="10" width="36.54296875" customWidth="1"/>
    <col min="11" max="11" width="18.7265625" customWidth="1"/>
    <col min="12" max="12" width="18.453125" customWidth="1"/>
    <col min="13" max="13" width="18.7265625" customWidth="1"/>
    <col min="14" max="14" width="19.6328125" customWidth="1"/>
    <col min="15" max="16" width="20.6328125" customWidth="1"/>
  </cols>
  <sheetData>
    <row r="1" spans="1:15" x14ac:dyDescent="0.35">
      <c r="A1" s="11" t="s">
        <v>112</v>
      </c>
    </row>
    <row r="2" spans="1:15" x14ac:dyDescent="0.35">
      <c r="A2" t="s">
        <v>93</v>
      </c>
      <c r="B2" t="s">
        <v>258</v>
      </c>
      <c r="C2" t="s">
        <v>259</v>
      </c>
      <c r="D2" t="s">
        <v>94</v>
      </c>
      <c r="E2" t="s">
        <v>250</v>
      </c>
      <c r="F2" t="s">
        <v>60</v>
      </c>
      <c r="G2" t="s">
        <v>61</v>
      </c>
    </row>
    <row r="3" spans="1:15" x14ac:dyDescent="0.35">
      <c r="A3">
        <v>50</v>
      </c>
      <c r="B3">
        <v>20</v>
      </c>
      <c r="C3">
        <v>250</v>
      </c>
      <c r="D3">
        <f>A3*B3*C3</f>
        <v>250000</v>
      </c>
      <c r="E3">
        <v>0.39100000000000001</v>
      </c>
      <c r="F3">
        <f>D3*E3</f>
        <v>97750</v>
      </c>
      <c r="G3">
        <f>F3/1000</f>
        <v>97.75</v>
      </c>
    </row>
    <row r="4" spans="1:15" x14ac:dyDescent="0.35">
      <c r="A4" s="11"/>
    </row>
    <row r="5" spans="1:15" x14ac:dyDescent="0.35">
      <c r="A5" s="11" t="s">
        <v>111</v>
      </c>
    </row>
    <row r="6" spans="1:15" x14ac:dyDescent="0.35">
      <c r="A6" t="s">
        <v>95</v>
      </c>
      <c r="B6" t="s">
        <v>97</v>
      </c>
      <c r="C6" t="s">
        <v>98</v>
      </c>
      <c r="D6" t="s">
        <v>251</v>
      </c>
      <c r="E6" t="s">
        <v>100</v>
      </c>
      <c r="F6" t="s">
        <v>101</v>
      </c>
      <c r="G6" s="4" t="s">
        <v>252</v>
      </c>
      <c r="H6" s="4" t="s">
        <v>102</v>
      </c>
      <c r="I6" t="s">
        <v>103</v>
      </c>
      <c r="J6" t="s">
        <v>253</v>
      </c>
      <c r="K6" t="s">
        <v>254</v>
      </c>
      <c r="L6" t="s">
        <v>107</v>
      </c>
      <c r="M6" t="s">
        <v>104</v>
      </c>
      <c r="N6" t="s">
        <v>105</v>
      </c>
      <c r="O6" t="s">
        <v>60</v>
      </c>
    </row>
    <row r="7" spans="1:15" x14ac:dyDescent="0.35">
      <c r="A7" t="s">
        <v>96</v>
      </c>
      <c r="B7">
        <v>100000</v>
      </c>
      <c r="C7" t="s">
        <v>99</v>
      </c>
      <c r="D7">
        <v>0.129</v>
      </c>
      <c r="G7" s="4">
        <f>B7*D7</f>
        <v>12900</v>
      </c>
      <c r="H7" s="4"/>
      <c r="L7">
        <v>1</v>
      </c>
      <c r="O7">
        <f>G7*L7</f>
        <v>12900</v>
      </c>
    </row>
    <row r="8" spans="1:15" x14ac:dyDescent="0.35">
      <c r="A8" t="s">
        <v>96</v>
      </c>
      <c r="B8">
        <v>100000</v>
      </c>
      <c r="C8" t="s">
        <v>99</v>
      </c>
      <c r="E8">
        <v>5.9999999999999995E-4</v>
      </c>
      <c r="F8">
        <v>4.1000000000000003E-3</v>
      </c>
      <c r="H8">
        <f>B7*E8</f>
        <v>59.999999999999993</v>
      </c>
      <c r="J8">
        <f>H8/1000</f>
        <v>5.9999999999999991E-2</v>
      </c>
      <c r="M8">
        <v>28</v>
      </c>
      <c r="O8">
        <f>J8*M8</f>
        <v>1.6799999999999997</v>
      </c>
    </row>
    <row r="9" spans="1:15" x14ac:dyDescent="0.35">
      <c r="A9" t="s">
        <v>96</v>
      </c>
      <c r="B9">
        <v>100000</v>
      </c>
      <c r="C9" t="s">
        <v>99</v>
      </c>
      <c r="I9">
        <f>B7*F8</f>
        <v>410.00000000000006</v>
      </c>
      <c r="K9">
        <f>I9/1000</f>
        <v>0.41000000000000003</v>
      </c>
      <c r="N9">
        <v>265</v>
      </c>
      <c r="O9">
        <f>K9*N9</f>
        <v>108.65</v>
      </c>
    </row>
    <row r="10" spans="1:15" ht="15" thickBot="1" x14ac:dyDescent="0.4"/>
    <row r="11" spans="1:15" ht="15" thickBot="1" x14ac:dyDescent="0.4">
      <c r="A11" s="12" t="s">
        <v>61</v>
      </c>
      <c r="B11" s="13">
        <f>SUM(O7:O9)/1000</f>
        <v>13.01033</v>
      </c>
    </row>
    <row r="13" spans="1:15" x14ac:dyDescent="0.35">
      <c r="A13" s="11" t="s">
        <v>110</v>
      </c>
    </row>
    <row r="14" spans="1:15" x14ac:dyDescent="0.35">
      <c r="A14" t="s">
        <v>108</v>
      </c>
      <c r="B14" t="s">
        <v>249</v>
      </c>
      <c r="C14" t="s">
        <v>257</v>
      </c>
      <c r="D14" t="s">
        <v>60</v>
      </c>
      <c r="E14" t="s">
        <v>61</v>
      </c>
    </row>
    <row r="15" spans="1:15" x14ac:dyDescent="0.35">
      <c r="A15" t="s">
        <v>109</v>
      </c>
      <c r="B15">
        <v>10000</v>
      </c>
      <c r="C15">
        <v>14.8</v>
      </c>
      <c r="D15">
        <f>B15*C15</f>
        <v>148000</v>
      </c>
      <c r="E15">
        <f>D15/1000</f>
        <v>148</v>
      </c>
    </row>
    <row r="17" spans="1:16" x14ac:dyDescent="0.35">
      <c r="A17" s="11" t="s">
        <v>113</v>
      </c>
    </row>
    <row r="18" spans="1:16" x14ac:dyDescent="0.35">
      <c r="A18" t="s">
        <v>114</v>
      </c>
      <c r="B18" t="s">
        <v>249</v>
      </c>
      <c r="C18" t="s">
        <v>95</v>
      </c>
      <c r="D18" t="s">
        <v>256</v>
      </c>
      <c r="E18" t="s">
        <v>116</v>
      </c>
      <c r="F18" t="s">
        <v>117</v>
      </c>
      <c r="G18" t="s">
        <v>118</v>
      </c>
      <c r="H18" t="s">
        <v>255</v>
      </c>
      <c r="I18" t="s">
        <v>247</v>
      </c>
      <c r="J18" t="s">
        <v>248</v>
      </c>
      <c r="K18" t="s">
        <v>252</v>
      </c>
      <c r="L18" t="s">
        <v>253</v>
      </c>
      <c r="M18" t="s">
        <v>254</v>
      </c>
      <c r="N18" t="s">
        <v>60</v>
      </c>
      <c r="O18" t="s">
        <v>119</v>
      </c>
      <c r="P18" t="s">
        <v>120</v>
      </c>
    </row>
    <row r="19" spans="1:16" x14ac:dyDescent="0.35">
      <c r="A19" t="s">
        <v>109</v>
      </c>
      <c r="B19">
        <v>10000</v>
      </c>
      <c r="C19" t="s">
        <v>115</v>
      </c>
      <c r="D19">
        <v>5000</v>
      </c>
      <c r="E19">
        <f>B19/907.185</f>
        <v>11.023109950010197</v>
      </c>
      <c r="F19">
        <f>D19*0.621371</f>
        <v>3106.855</v>
      </c>
      <c r="G19">
        <f>E19*F19</f>
        <v>34247.204263738931</v>
      </c>
      <c r="H19">
        <v>0.186</v>
      </c>
      <c r="I19">
        <v>1.6000000000000001E-3</v>
      </c>
      <c r="J19">
        <v>5.4000000000000003E-3</v>
      </c>
      <c r="K19">
        <f>G19*H19</f>
        <v>6369.9799930554409</v>
      </c>
      <c r="L19">
        <f>(G19*I19)/1000</f>
        <v>5.4795526821982292E-2</v>
      </c>
      <c r="M19">
        <f>(G19*J19)/1000</f>
        <v>0.18493490302419024</v>
      </c>
      <c r="N19">
        <f>K19*1</f>
        <v>6369.9799930554409</v>
      </c>
      <c r="O19">
        <f>L19*28</f>
        <v>1.5342747510155041</v>
      </c>
      <c r="P19">
        <f>M19*265</f>
        <v>49.007749301410414</v>
      </c>
    </row>
    <row r="20" spans="1:16" ht="15" thickBot="1" x14ac:dyDescent="0.4"/>
    <row r="21" spans="1:16" ht="15" thickBot="1" x14ac:dyDescent="0.4">
      <c r="A21" s="12" t="s">
        <v>61</v>
      </c>
      <c r="B21" s="13">
        <f>SUM(N19:P19)/1000</f>
        <v>6.4205220171078672</v>
      </c>
    </row>
  </sheetData>
  <pageMargins left="0.7" right="0.7" top="0.75" bottom="0.75" header="0.3" footer="0.3"/>
  <pageSetup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2614-DACC-413A-9143-1AF465AEB5ED}">
  <dimension ref="A1:AB17"/>
  <sheetViews>
    <sheetView zoomScale="60" zoomScaleNormal="60" workbookViewId="0">
      <selection activeCell="S10" sqref="S10"/>
    </sheetView>
  </sheetViews>
  <sheetFormatPr defaultRowHeight="14.5" x14ac:dyDescent="0.35"/>
  <cols>
    <col min="1" max="1" width="15.1796875" customWidth="1"/>
    <col min="2" max="2" width="14.54296875" customWidth="1"/>
    <col min="3" max="3" width="16" customWidth="1"/>
    <col min="4" max="4" width="18.36328125" bestFit="1" customWidth="1"/>
    <col min="5" max="5" width="18" bestFit="1" customWidth="1"/>
    <col min="8" max="8" width="13.26953125" customWidth="1"/>
    <col min="9" max="9" width="15.26953125" customWidth="1"/>
    <col min="10" max="10" width="19.7265625" customWidth="1"/>
    <col min="11" max="12" width="18" bestFit="1" customWidth="1"/>
    <col min="13" max="13" width="11.90625" customWidth="1"/>
    <col min="14" max="14" width="11.26953125" customWidth="1"/>
    <col min="15" max="15" width="11.1796875" customWidth="1"/>
    <col min="16" max="16" width="12.81640625" customWidth="1"/>
    <col min="17" max="17" width="15.36328125" customWidth="1"/>
    <col min="18" max="18" width="14.90625" customWidth="1"/>
    <col min="19" max="19" width="22.26953125" bestFit="1" customWidth="1"/>
    <col min="20" max="20" width="15.1796875" customWidth="1"/>
    <col min="21" max="21" width="11.453125" customWidth="1"/>
    <col min="22" max="22" width="13.54296875" customWidth="1"/>
    <col min="23" max="23" width="17.54296875" customWidth="1"/>
    <col min="24" max="24" width="22.36328125" bestFit="1" customWidth="1"/>
    <col min="25" max="25" width="15.26953125" bestFit="1" customWidth="1"/>
    <col min="26" max="26" width="15.26953125" customWidth="1"/>
    <col min="27" max="27" width="16.1796875" customWidth="1"/>
    <col min="28" max="28" width="15.08984375" customWidth="1"/>
  </cols>
  <sheetData>
    <row r="1" spans="1:28" ht="29" x14ac:dyDescent="0.35">
      <c r="A1" s="2" t="s">
        <v>5</v>
      </c>
      <c r="B1" s="2" t="s">
        <v>121</v>
      </c>
      <c r="C1" s="2" t="s">
        <v>61</v>
      </c>
      <c r="D1" s="8" t="s">
        <v>136</v>
      </c>
      <c r="E1" s="8" t="s">
        <v>136</v>
      </c>
      <c r="H1" s="2" t="s">
        <v>5</v>
      </c>
      <c r="I1" s="2" t="s">
        <v>121</v>
      </c>
      <c r="J1" s="2" t="s">
        <v>61</v>
      </c>
      <c r="K1" s="8" t="s">
        <v>136</v>
      </c>
      <c r="L1" s="8" t="s">
        <v>136</v>
      </c>
      <c r="O1" s="2" t="s">
        <v>5</v>
      </c>
      <c r="P1" s="2" t="s">
        <v>137</v>
      </c>
      <c r="Q1" s="2" t="s">
        <v>138</v>
      </c>
      <c r="X1" s="38" t="s">
        <v>222</v>
      </c>
      <c r="Y1" s="38"/>
      <c r="Z1" s="38"/>
      <c r="AA1" s="38"/>
      <c r="AB1" s="38"/>
    </row>
    <row r="2" spans="1:28" ht="43.5" x14ac:dyDescent="0.35">
      <c r="A2" s="1" t="s">
        <v>0</v>
      </c>
      <c r="B2" s="1" t="s">
        <v>124</v>
      </c>
      <c r="C2" s="1">
        <f>Table8[[#This Row],[Emissions (tCO2e)]]</f>
        <v>160.02000000000001</v>
      </c>
      <c r="D2" s="8">
        <f>(C2/$C$16)*100</f>
        <v>18.646943349521859</v>
      </c>
      <c r="E2" s="8">
        <f>(C2/$C$17)*100</f>
        <v>20.969990791030728</v>
      </c>
      <c r="H2" s="1" t="s">
        <v>0</v>
      </c>
      <c r="I2" s="1" t="s">
        <v>124</v>
      </c>
      <c r="J2" s="1">
        <f>Table8[[#This Row],[Emissions (tCO2e)]]</f>
        <v>160.02000000000001</v>
      </c>
      <c r="K2" s="8">
        <f>(J2/$C$16)*100</f>
        <v>18.646943349521859</v>
      </c>
      <c r="L2" s="8">
        <f>(J2/$C$17)*100</f>
        <v>20.969990791030728</v>
      </c>
      <c r="O2" s="1" t="s">
        <v>0</v>
      </c>
      <c r="P2" s="1">
        <v>457.08625000000001</v>
      </c>
      <c r="Q2" s="1">
        <f>(P2/$P$5)*100</f>
        <v>53.263725844240625</v>
      </c>
      <c r="X2" s="2" t="s">
        <v>121</v>
      </c>
      <c r="Y2" s="2" t="s">
        <v>244</v>
      </c>
      <c r="Z2" s="2" t="s">
        <v>141</v>
      </c>
      <c r="AA2" s="2" t="s">
        <v>245</v>
      </c>
      <c r="AB2" s="2" t="s">
        <v>246</v>
      </c>
    </row>
    <row r="3" spans="1:28" ht="43.5" x14ac:dyDescent="0.35">
      <c r="A3" s="1" t="s">
        <v>0</v>
      </c>
      <c r="B3" s="1" t="s">
        <v>125</v>
      </c>
      <c r="C3" s="1">
        <f>Table8[[#This Row],[Emissions (tCO2e)]]</f>
        <v>122.52</v>
      </c>
      <c r="D3" s="8">
        <f t="shared" ref="D3:D14" si="0">(C3/$C$16)*100</f>
        <v>14.277112230867504</v>
      </c>
      <c r="E3" s="8">
        <f t="shared" ref="E3:E14" si="1">(C3/$C$17)*100</f>
        <v>16.055763477797054</v>
      </c>
      <c r="H3" s="1" t="s">
        <v>0</v>
      </c>
      <c r="I3" s="1" t="s">
        <v>125</v>
      </c>
      <c r="J3" s="1">
        <f>Table8[[#This Row],[Emissions (tCO2e)]]</f>
        <v>122.52</v>
      </c>
      <c r="K3" s="8">
        <f t="shared" ref="K3:K6" si="2">(J3/$C$16)*100</f>
        <v>14.277112230867504</v>
      </c>
      <c r="L3" s="8">
        <f t="shared" ref="L3:L6" si="3">(J3/$C$17)*100</f>
        <v>16.055763477797054</v>
      </c>
      <c r="O3" s="1" t="s">
        <v>139</v>
      </c>
      <c r="P3" s="1">
        <v>135.88999999999999</v>
      </c>
      <c r="Q3" s="1">
        <f>(P3/$P$5)*100</f>
        <v>15.835102685705069</v>
      </c>
      <c r="X3" s="1" t="s">
        <v>124</v>
      </c>
      <c r="Y3" s="1">
        <v>160.02000000000001</v>
      </c>
      <c r="Z3" s="19">
        <v>0.2</v>
      </c>
      <c r="AA3" s="1">
        <f>Y3*0.2</f>
        <v>32.004000000000005</v>
      </c>
      <c r="AB3" s="1">
        <f>Y3-AA3</f>
        <v>128.01600000000002</v>
      </c>
    </row>
    <row r="4" spans="1:28" ht="29" x14ac:dyDescent="0.35">
      <c r="A4" s="1" t="s">
        <v>0</v>
      </c>
      <c r="B4" s="1" t="s">
        <v>126</v>
      </c>
      <c r="C4" s="1">
        <f>'Scope 1'!B15</f>
        <v>132.78625</v>
      </c>
      <c r="D4" s="8">
        <f t="shared" si="0"/>
        <v>15.473426330117777</v>
      </c>
      <c r="E4" s="8">
        <f t="shared" si="1"/>
        <v>17.401115108583323</v>
      </c>
      <c r="H4" s="1" t="s">
        <v>0</v>
      </c>
      <c r="I4" s="1" t="s">
        <v>156</v>
      </c>
      <c r="J4" s="1">
        <f>C4</f>
        <v>132.78625</v>
      </c>
      <c r="K4" s="8">
        <f t="shared" si="2"/>
        <v>15.473426330117777</v>
      </c>
      <c r="L4" s="8">
        <f t="shared" si="3"/>
        <v>17.401115108583323</v>
      </c>
      <c r="O4" s="1" t="s">
        <v>2</v>
      </c>
      <c r="P4" s="1">
        <v>265.18085200000002</v>
      </c>
      <c r="Q4" s="1">
        <f>(P4/$P$5)*100</f>
        <v>30.901214377089993</v>
      </c>
      <c r="X4" s="1" t="s">
        <v>109</v>
      </c>
      <c r="Y4" s="1">
        <v>148</v>
      </c>
      <c r="Z4" s="19">
        <v>0.2</v>
      </c>
      <c r="AA4" s="1">
        <f>Y4*0.2</f>
        <v>29.6</v>
      </c>
      <c r="AB4" s="1">
        <f>Y4-AA4</f>
        <v>118.4</v>
      </c>
    </row>
    <row r="5" spans="1:28" ht="29" x14ac:dyDescent="0.35">
      <c r="A5" s="1" t="s">
        <v>0</v>
      </c>
      <c r="B5" s="1" t="s">
        <v>58</v>
      </c>
      <c r="C5" s="1" cm="1">
        <f t="array" ref="C5">Table11[Emissions (tCO2e)]</f>
        <v>41.76</v>
      </c>
      <c r="D5" s="8">
        <f t="shared" si="0"/>
        <v>4.8662439337334877</v>
      </c>
      <c r="E5" s="8">
        <f t="shared" si="1"/>
        <v>5.4724835360170161</v>
      </c>
      <c r="H5" s="1" t="s">
        <v>0</v>
      </c>
      <c r="I5" s="1" t="s">
        <v>155</v>
      </c>
      <c r="J5" s="1" cm="1">
        <f t="array" ref="J5">Table11[Emissions (tCO2e)]</f>
        <v>41.76</v>
      </c>
      <c r="K5" s="8">
        <f t="shared" si="2"/>
        <v>4.8662439337334877</v>
      </c>
      <c r="L5" s="8">
        <f t="shared" si="3"/>
        <v>5.4724835360170161</v>
      </c>
      <c r="O5" s="2" t="s">
        <v>40</v>
      </c>
      <c r="P5" s="18">
        <f>C16</f>
        <v>858.15673379038401</v>
      </c>
      <c r="Q5" s="16">
        <f>SUM(Q2:Q4)</f>
        <v>100.00004290703569</v>
      </c>
      <c r="X5" s="1" t="s">
        <v>142</v>
      </c>
      <c r="Y5" s="1">
        <v>132.78625</v>
      </c>
      <c r="Z5" s="19">
        <v>0.2</v>
      </c>
      <c r="AA5" s="1">
        <f>Y5*0.2</f>
        <v>26.55725</v>
      </c>
      <c r="AB5" s="1">
        <f>Y5-AA5</f>
        <v>106.229</v>
      </c>
    </row>
    <row r="6" spans="1:28" ht="29" x14ac:dyDescent="0.35">
      <c r="A6" s="2" t="s">
        <v>122</v>
      </c>
      <c r="B6" s="1"/>
      <c r="C6" s="1">
        <f>SUM(C2:C5)</f>
        <v>457.08625000000001</v>
      </c>
      <c r="D6" s="8"/>
      <c r="E6" s="8"/>
      <c r="H6" s="1" t="s">
        <v>1</v>
      </c>
      <c r="I6" s="1" t="s">
        <v>127</v>
      </c>
      <c r="J6" s="20">
        <f>C7</f>
        <v>135.88963177327614</v>
      </c>
      <c r="K6" s="8">
        <f t="shared" si="2"/>
        <v>15.835059776675825</v>
      </c>
      <c r="L6" s="8">
        <f t="shared" si="3"/>
        <v>17.807801067879993</v>
      </c>
      <c r="X6" s="2" t="s">
        <v>40</v>
      </c>
      <c r="Y6" s="2">
        <f>SUM(Y3:Y5)</f>
        <v>440.80624999999998</v>
      </c>
      <c r="Z6" s="1"/>
      <c r="AA6" s="2">
        <f>SUM(AA3:AA5)</f>
        <v>88.16125000000001</v>
      </c>
      <c r="AB6" s="2">
        <f>SUM(AB3:AB5)</f>
        <v>352.64500000000004</v>
      </c>
    </row>
    <row r="7" spans="1:28" ht="29" x14ac:dyDescent="0.35">
      <c r="A7" s="1" t="s">
        <v>1</v>
      </c>
      <c r="B7" s="1" t="s">
        <v>127</v>
      </c>
      <c r="C7" s="20">
        <f>'Scope 2'!B9</f>
        <v>135.88963177327614</v>
      </c>
      <c r="D7" s="8">
        <f t="shared" si="0"/>
        <v>15.835059776675825</v>
      </c>
      <c r="E7" s="8">
        <f t="shared" si="1"/>
        <v>17.807801067879993</v>
      </c>
      <c r="H7" s="1" t="s">
        <v>2</v>
      </c>
      <c r="I7" s="1" t="s">
        <v>129</v>
      </c>
      <c r="J7" s="1" cm="1">
        <f t="array" ref="J7">Table13[Emissions (tCO2e)]</f>
        <v>97.75</v>
      </c>
      <c r="K7" s="8">
        <f>(J7/$C$16)*100</f>
        <v>11.390693115959015</v>
      </c>
      <c r="L7" s="8">
        <f>(J7/$C$17)*100</f>
        <v>12.809752529829105</v>
      </c>
    </row>
    <row r="8" spans="1:28" ht="29" x14ac:dyDescent="0.35">
      <c r="A8" s="1" t="s">
        <v>1</v>
      </c>
      <c r="B8" s="1" t="s">
        <v>128</v>
      </c>
      <c r="C8" s="20">
        <f>'Scope 2'!B10</f>
        <v>40.823361849207579</v>
      </c>
      <c r="D8" s="8">
        <f t="shared" si="0"/>
        <v>4.7570985860467792</v>
      </c>
      <c r="E8" s="8">
        <f t="shared" si="1"/>
        <v>5.3497407951305957</v>
      </c>
      <c r="H8" s="1" t="s">
        <v>2</v>
      </c>
      <c r="I8" s="1" t="s">
        <v>130</v>
      </c>
      <c r="J8" s="1">
        <f>C12</f>
        <v>13.01033</v>
      </c>
      <c r="K8" s="8">
        <f>(J8/$C$16)*100</f>
        <v>1.5160785306123279</v>
      </c>
      <c r="L8" s="8">
        <f>(J8/$C$17)*100</f>
        <v>1.7049525077382248</v>
      </c>
      <c r="O8" s="2" t="s">
        <v>5</v>
      </c>
      <c r="P8" s="2" t="s">
        <v>137</v>
      </c>
      <c r="Q8" s="2" t="s">
        <v>138</v>
      </c>
      <c r="X8" s="2" t="s">
        <v>143</v>
      </c>
      <c r="Y8" s="2" t="s">
        <v>157</v>
      </c>
      <c r="AA8" s="2" t="s">
        <v>148</v>
      </c>
      <c r="AB8" s="7" t="s">
        <v>137</v>
      </c>
    </row>
    <row r="9" spans="1:28" ht="29" x14ac:dyDescent="0.35">
      <c r="A9" s="2" t="s">
        <v>132</v>
      </c>
      <c r="B9" s="1"/>
      <c r="C9" s="20">
        <f>SUM(C7)</f>
        <v>135.88963177327614</v>
      </c>
      <c r="D9" s="8"/>
      <c r="E9" s="8"/>
      <c r="H9" s="1" t="s">
        <v>2</v>
      </c>
      <c r="I9" s="1" t="s">
        <v>109</v>
      </c>
      <c r="J9" s="1">
        <f>C13</f>
        <v>148</v>
      </c>
      <c r="K9" s="8">
        <f>(J9/$C$16)*100</f>
        <v>17.246266814955849</v>
      </c>
      <c r="L9" s="8">
        <f>(J9/$C$17)*100</f>
        <v>19.394817129562224</v>
      </c>
      <c r="O9" s="1" t="s">
        <v>0</v>
      </c>
      <c r="P9" s="1">
        <v>457.08625000000001</v>
      </c>
      <c r="Q9" s="8">
        <f>(P9/$P$12)*100</f>
        <v>59.899389324981321</v>
      </c>
      <c r="X9" s="1" t="s">
        <v>144</v>
      </c>
      <c r="Y9" s="1">
        <v>858.16</v>
      </c>
      <c r="AA9" s="4" t="s">
        <v>149</v>
      </c>
      <c r="AB9" s="6">
        <v>858.15710200000001</v>
      </c>
    </row>
    <row r="10" spans="1:28" ht="43.5" x14ac:dyDescent="0.35">
      <c r="A10" s="2" t="s">
        <v>133</v>
      </c>
      <c r="B10" s="1"/>
      <c r="C10" s="20">
        <f>SUM(C8)</f>
        <v>40.823361849207579</v>
      </c>
      <c r="D10" s="8"/>
      <c r="E10" s="8"/>
      <c r="H10" s="1" t="s">
        <v>2</v>
      </c>
      <c r="I10" s="1" t="s">
        <v>154</v>
      </c>
      <c r="J10" s="1">
        <f>C14</f>
        <v>6.4205220171078672</v>
      </c>
      <c r="K10" s="8">
        <f>(J10/$C$16)*100</f>
        <v>0.74817591755635671</v>
      </c>
      <c r="L10" s="8">
        <f>(J10/$C$17)*100</f>
        <v>0.84138412431172349</v>
      </c>
      <c r="O10" s="1" t="s">
        <v>140</v>
      </c>
      <c r="P10" s="8">
        <v>40.82</v>
      </c>
      <c r="Q10" s="8">
        <f>(P10/$P$12)*100</f>
        <v>5.3493034897587437</v>
      </c>
      <c r="X10" s="1" t="s">
        <v>145</v>
      </c>
      <c r="Y10" s="1">
        <f>SUM(AA3:AA5)</f>
        <v>88.16125000000001</v>
      </c>
      <c r="AA10" s="4" t="s">
        <v>150</v>
      </c>
      <c r="AB10" s="6">
        <v>769.99585200000001</v>
      </c>
    </row>
    <row r="11" spans="1:28" ht="29" x14ac:dyDescent="0.35">
      <c r="A11" s="1" t="s">
        <v>2</v>
      </c>
      <c r="B11" s="1" t="s">
        <v>129</v>
      </c>
      <c r="C11" s="1" cm="1">
        <f t="array" ref="C11">Table13[Emissions (tCO2e)]</f>
        <v>97.75</v>
      </c>
      <c r="D11" s="8">
        <f t="shared" si="0"/>
        <v>11.390693115959015</v>
      </c>
      <c r="E11" s="8">
        <f t="shared" si="1"/>
        <v>12.809752529829105</v>
      </c>
      <c r="O11" s="1" t="s">
        <v>2</v>
      </c>
      <c r="P11" s="1">
        <v>265.18085200000002</v>
      </c>
      <c r="Q11" s="8">
        <f>(P11/$P$12)*100</f>
        <v>34.750927413542307</v>
      </c>
      <c r="X11" s="1" t="s">
        <v>146</v>
      </c>
      <c r="Y11" s="1">
        <f>Y9-Y10</f>
        <v>769.99874999999997</v>
      </c>
    </row>
    <row r="12" spans="1:28" x14ac:dyDescent="0.35">
      <c r="A12" s="1" t="s">
        <v>2</v>
      </c>
      <c r="B12" s="1" t="s">
        <v>130</v>
      </c>
      <c r="C12" s="1">
        <f>'Scope 3 '!B11</f>
        <v>13.01033</v>
      </c>
      <c r="D12" s="8">
        <f t="shared" si="0"/>
        <v>1.5160785306123279</v>
      </c>
      <c r="E12" s="8">
        <f t="shared" si="1"/>
        <v>1.7049525077382248</v>
      </c>
      <c r="O12" s="2" t="s">
        <v>40</v>
      </c>
      <c r="P12" s="17">
        <v>763.09</v>
      </c>
      <c r="Q12" s="16">
        <f>SUM(Q9:Q11)</f>
        <v>99.999620228282367</v>
      </c>
      <c r="X12" s="1" t="s">
        <v>147</v>
      </c>
      <c r="Y12" s="1">
        <f>(Y10/Y9)*100</f>
        <v>10.273288198005035</v>
      </c>
    </row>
    <row r="13" spans="1:28" x14ac:dyDescent="0.35">
      <c r="A13" s="1" t="s">
        <v>2</v>
      </c>
      <c r="B13" s="1" t="s">
        <v>109</v>
      </c>
      <c r="C13" s="1" cm="1">
        <f t="array" ref="C13">Table15[Emissions (tCO2e)]</f>
        <v>148</v>
      </c>
      <c r="D13" s="8">
        <f t="shared" si="0"/>
        <v>17.246266814955849</v>
      </c>
      <c r="E13" s="8">
        <f t="shared" si="1"/>
        <v>19.394817129562224</v>
      </c>
    </row>
    <row r="14" spans="1:28" ht="43.5" x14ac:dyDescent="0.35">
      <c r="A14" s="1" t="s">
        <v>2</v>
      </c>
      <c r="B14" s="1" t="s">
        <v>131</v>
      </c>
      <c r="C14" s="1">
        <f>'Scope 3 '!B21</f>
        <v>6.4205220171078672</v>
      </c>
      <c r="D14" s="8">
        <f t="shared" si="0"/>
        <v>0.74817591755635671</v>
      </c>
      <c r="E14" s="8">
        <f t="shared" si="1"/>
        <v>0.84138412431172349</v>
      </c>
    </row>
    <row r="15" spans="1:28" x14ac:dyDescent="0.35">
      <c r="A15" s="2" t="s">
        <v>123</v>
      </c>
      <c r="B15" s="1"/>
      <c r="C15" s="1">
        <f>SUM(C11:C14)</f>
        <v>265.1808520171079</v>
      </c>
      <c r="D15" s="8"/>
      <c r="E15" s="8"/>
    </row>
    <row r="16" spans="1:28" ht="43.5" x14ac:dyDescent="0.35">
      <c r="A16" s="2" t="s">
        <v>135</v>
      </c>
      <c r="B16" s="1"/>
      <c r="C16" s="20">
        <f>SUM(C6,C9,C15)</f>
        <v>858.15673379038401</v>
      </c>
      <c r="D16" s="8"/>
      <c r="E16" s="8"/>
    </row>
    <row r="17" spans="1:5" ht="43.5" x14ac:dyDescent="0.35">
      <c r="A17" s="2" t="s">
        <v>134</v>
      </c>
      <c r="B17" s="8"/>
      <c r="C17" s="21">
        <f>SUM(C15,C10,C6)</f>
        <v>763.09046386631553</v>
      </c>
      <c r="D17" s="8"/>
      <c r="E17" s="8"/>
    </row>
  </sheetData>
  <mergeCells count="1">
    <mergeCell ref="X1:AB1"/>
  </mergeCells>
  <pageMargins left="0.7" right="0.7" top="0.75" bottom="0.75" header="0.3" footer="0.3"/>
  <pageSetup orientation="portrait"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603B8-DAAA-40C6-B0E4-0DD61ED50F01}">
  <dimension ref="A1:R40"/>
  <sheetViews>
    <sheetView tabSelected="1" zoomScale="80" zoomScaleNormal="80" workbookViewId="0">
      <selection activeCell="K13" sqref="K13"/>
    </sheetView>
  </sheetViews>
  <sheetFormatPr defaultRowHeight="14.5" x14ac:dyDescent="0.35"/>
  <cols>
    <col min="1" max="1" width="13.36328125" bestFit="1" customWidth="1"/>
    <col min="2" max="2" width="18.90625" bestFit="1" customWidth="1"/>
    <col min="3" max="3" width="16" bestFit="1" customWidth="1"/>
    <col min="5" max="5" width="27.7265625" bestFit="1" customWidth="1"/>
    <col min="6" max="6" width="28.08984375" bestFit="1" customWidth="1"/>
    <col min="7" max="7" width="16" bestFit="1" customWidth="1"/>
    <col min="8" max="8" width="23.26953125" bestFit="1" customWidth="1"/>
    <col min="9" max="9" width="12.26953125" bestFit="1" customWidth="1"/>
    <col min="10" max="10" width="31.453125" customWidth="1"/>
    <col min="11" max="11" width="21.54296875" customWidth="1"/>
    <col min="12" max="14" width="28.1796875" bestFit="1" customWidth="1"/>
    <col min="15" max="15" width="7.1796875" customWidth="1"/>
    <col min="16" max="16" width="14.6328125" customWidth="1"/>
    <col min="17" max="17" width="16.08984375" customWidth="1"/>
  </cols>
  <sheetData>
    <row r="1" spans="1:18" ht="21" x14ac:dyDescent="0.35">
      <c r="A1" s="39" t="s">
        <v>151</v>
      </c>
      <c r="B1" s="39"/>
      <c r="C1" s="39"/>
      <c r="D1" s="39"/>
      <c r="E1" s="39"/>
      <c r="F1" s="39"/>
      <c r="G1" s="32"/>
      <c r="H1" s="32"/>
      <c r="I1" s="33"/>
      <c r="J1" s="33"/>
      <c r="K1" s="33"/>
      <c r="L1" s="33"/>
      <c r="M1" s="33"/>
      <c r="N1" s="33"/>
      <c r="O1" s="33"/>
      <c r="P1" s="33"/>
      <c r="Q1" s="33"/>
      <c r="R1" s="33"/>
    </row>
    <row r="2" spans="1:18" ht="18.5" x14ac:dyDescent="0.45">
      <c r="A2" s="40" t="s">
        <v>152</v>
      </c>
      <c r="B2" s="40"/>
      <c r="C2" s="40"/>
      <c r="D2" s="40"/>
      <c r="E2" s="40"/>
      <c r="F2" s="40"/>
      <c r="G2" s="33"/>
      <c r="H2" s="33"/>
      <c r="I2" s="33"/>
      <c r="J2" s="33"/>
      <c r="K2" s="33"/>
      <c r="L2" s="33"/>
      <c r="M2" s="33"/>
      <c r="N2" s="33"/>
      <c r="O2" s="33"/>
      <c r="P2" s="33"/>
      <c r="Q2" s="33"/>
      <c r="R2" s="33"/>
    </row>
    <row r="3" spans="1:18" x14ac:dyDescent="0.35">
      <c r="A3" s="33"/>
      <c r="B3" s="33"/>
      <c r="C3" s="33"/>
      <c r="D3" s="33"/>
      <c r="E3" s="33"/>
      <c r="F3" s="33"/>
      <c r="G3" s="33"/>
      <c r="H3" s="33"/>
      <c r="I3" s="33"/>
      <c r="J3" s="33"/>
      <c r="K3" s="33"/>
      <c r="L3" s="33"/>
      <c r="M3" s="33"/>
      <c r="N3" s="33"/>
      <c r="O3" s="33"/>
      <c r="P3" s="33"/>
      <c r="Q3" s="33"/>
      <c r="R3" s="33"/>
    </row>
    <row r="4" spans="1:18" x14ac:dyDescent="0.35">
      <c r="A4" s="33"/>
      <c r="B4" s="33"/>
      <c r="C4" s="33"/>
      <c r="D4" s="33"/>
      <c r="E4" s="33"/>
      <c r="F4" s="33"/>
      <c r="G4" s="33"/>
      <c r="H4" s="33"/>
      <c r="I4" s="33"/>
      <c r="J4" s="33"/>
      <c r="K4" s="33"/>
      <c r="L4" s="33"/>
      <c r="M4" s="33"/>
      <c r="N4" s="33"/>
      <c r="O4" s="33"/>
      <c r="P4" s="33"/>
      <c r="Q4" s="33"/>
      <c r="R4" s="33"/>
    </row>
    <row r="5" spans="1:18" ht="17" customHeight="1" x14ac:dyDescent="0.35">
      <c r="A5" s="33"/>
      <c r="B5" s="33"/>
      <c r="C5" s="33"/>
      <c r="D5" s="33"/>
      <c r="E5" s="33"/>
      <c r="F5" s="33"/>
      <c r="G5" s="33"/>
      <c r="H5" s="33"/>
      <c r="I5" s="33"/>
      <c r="J5" s="33"/>
      <c r="K5" s="33"/>
      <c r="L5" s="33"/>
      <c r="M5" s="33"/>
      <c r="N5" s="33"/>
      <c r="O5" s="33"/>
      <c r="P5" s="33"/>
      <c r="Q5" s="33"/>
      <c r="R5" s="33"/>
    </row>
    <row r="6" spans="1:18" x14ac:dyDescent="0.35">
      <c r="A6" s="33"/>
      <c r="B6" s="33"/>
      <c r="C6" s="33"/>
      <c r="D6" s="33"/>
      <c r="E6" s="33"/>
      <c r="F6" s="33"/>
      <c r="G6" s="33"/>
      <c r="H6" s="33"/>
      <c r="I6" s="33"/>
      <c r="J6" s="33"/>
      <c r="K6" s="33"/>
      <c r="L6" s="33"/>
      <c r="M6" s="33"/>
      <c r="N6" s="33"/>
      <c r="O6" s="33"/>
      <c r="P6" s="33"/>
      <c r="Q6" s="33"/>
      <c r="R6" s="33"/>
    </row>
    <row r="7" spans="1:18" x14ac:dyDescent="0.35">
      <c r="A7" s="33"/>
      <c r="B7" s="33"/>
      <c r="C7" s="33"/>
      <c r="D7" s="33"/>
      <c r="E7" s="33"/>
      <c r="F7" s="33"/>
      <c r="G7" s="33"/>
      <c r="H7" s="33"/>
      <c r="I7" s="33"/>
      <c r="J7" s="33"/>
      <c r="K7" s="33"/>
      <c r="L7" s="33"/>
      <c r="M7" s="33"/>
      <c r="N7" s="33"/>
      <c r="O7" s="33"/>
      <c r="P7" s="33"/>
      <c r="Q7" s="33"/>
      <c r="R7" s="33"/>
    </row>
    <row r="8" spans="1:18" ht="29" x14ac:dyDescent="0.35">
      <c r="A8" s="33"/>
      <c r="B8" s="22" t="s">
        <v>158</v>
      </c>
      <c r="C8" t="s">
        <v>61</v>
      </c>
      <c r="D8" s="33"/>
      <c r="E8" s="33"/>
      <c r="F8" s="22" t="s">
        <v>158</v>
      </c>
      <c r="G8" t="s">
        <v>61</v>
      </c>
      <c r="H8" s="33"/>
      <c r="I8" s="33"/>
      <c r="J8" s="30" t="s">
        <v>5</v>
      </c>
      <c r="K8" s="30" t="s">
        <v>61</v>
      </c>
      <c r="L8" s="33"/>
      <c r="M8" s="26" t="s">
        <v>143</v>
      </c>
      <c r="N8" s="26" t="s">
        <v>157</v>
      </c>
      <c r="O8" s="33"/>
      <c r="P8" s="2" t="s">
        <v>148</v>
      </c>
      <c r="Q8" s="7" t="s">
        <v>61</v>
      </c>
      <c r="R8" s="33"/>
    </row>
    <row r="9" spans="1:18" x14ac:dyDescent="0.35">
      <c r="A9" s="33"/>
      <c r="B9" s="23" t="s">
        <v>0</v>
      </c>
      <c r="C9">
        <v>457.08625000000001</v>
      </c>
      <c r="D9" s="33"/>
      <c r="E9" s="33"/>
      <c r="F9" s="23" t="s">
        <v>124</v>
      </c>
      <c r="G9">
        <v>160.02000000000001</v>
      </c>
      <c r="H9" s="33"/>
      <c r="I9" s="33"/>
      <c r="J9" s="1" t="s">
        <v>139</v>
      </c>
      <c r="K9" s="1">
        <v>135.88999999999999</v>
      </c>
      <c r="L9" s="33"/>
      <c r="M9" s="1" t="s">
        <v>144</v>
      </c>
      <c r="N9" s="27">
        <v>858.16</v>
      </c>
      <c r="O9" s="33"/>
      <c r="P9" s="28" t="s">
        <v>149</v>
      </c>
      <c r="Q9" s="29">
        <v>858.15710200000001</v>
      </c>
      <c r="R9" s="33"/>
    </row>
    <row r="10" spans="1:18" ht="29" x14ac:dyDescent="0.35">
      <c r="A10" s="33"/>
      <c r="B10" s="23" t="s">
        <v>1</v>
      </c>
      <c r="C10">
        <v>135.88963177327614</v>
      </c>
      <c r="D10" s="33"/>
      <c r="E10" s="33"/>
      <c r="F10" s="23" t="s">
        <v>109</v>
      </c>
      <c r="G10">
        <v>148</v>
      </c>
      <c r="H10" s="33"/>
      <c r="I10" s="33"/>
      <c r="J10" s="1" t="s">
        <v>140</v>
      </c>
      <c r="K10" s="8">
        <v>40.82</v>
      </c>
      <c r="L10" s="33"/>
      <c r="M10" s="1" t="s">
        <v>145</v>
      </c>
      <c r="N10" s="1">
        <f>SUM('GHG Inventory Summary'!AA3:AA5)</f>
        <v>88.16125000000001</v>
      </c>
      <c r="O10" s="33"/>
      <c r="P10" s="4" t="s">
        <v>150</v>
      </c>
      <c r="Q10" s="6">
        <v>769.99585200000001</v>
      </c>
      <c r="R10" s="33"/>
    </row>
    <row r="11" spans="1:18" x14ac:dyDescent="0.35">
      <c r="A11" s="33"/>
      <c r="B11" s="23" t="s">
        <v>2</v>
      </c>
      <c r="C11">
        <v>265.1808520171079</v>
      </c>
      <c r="D11" s="33"/>
      <c r="E11" s="33"/>
      <c r="F11" s="23" t="s">
        <v>127</v>
      </c>
      <c r="G11">
        <v>135.88963177327614</v>
      </c>
      <c r="H11" s="33"/>
      <c r="I11" s="33"/>
      <c r="J11" s="33"/>
      <c r="K11" s="33"/>
      <c r="L11" s="33"/>
      <c r="M11" s="1" t="s">
        <v>146</v>
      </c>
      <c r="N11" s="1">
        <f>N9-N10</f>
        <v>769.99874999999997</v>
      </c>
      <c r="O11" s="33"/>
      <c r="P11" s="33"/>
      <c r="Q11" s="33"/>
      <c r="R11" s="33"/>
    </row>
    <row r="12" spans="1:18" x14ac:dyDescent="0.35">
      <c r="A12" s="33"/>
      <c r="B12" s="23" t="s">
        <v>153</v>
      </c>
      <c r="C12">
        <v>858.15673379038401</v>
      </c>
      <c r="D12" s="33"/>
      <c r="E12" s="33"/>
      <c r="F12" s="23" t="s">
        <v>156</v>
      </c>
      <c r="G12">
        <v>132.78625</v>
      </c>
      <c r="H12" s="33"/>
      <c r="I12" s="33"/>
      <c r="J12" s="33"/>
      <c r="K12" s="33"/>
      <c r="L12" s="33"/>
      <c r="M12" s="1" t="s">
        <v>147</v>
      </c>
      <c r="N12" s="25">
        <f>(N10/N9)*100</f>
        <v>10.273288198005035</v>
      </c>
      <c r="O12" s="33"/>
      <c r="P12" s="33"/>
      <c r="Q12" s="33"/>
      <c r="R12" s="33"/>
    </row>
    <row r="13" spans="1:18" x14ac:dyDescent="0.35">
      <c r="A13" s="33"/>
      <c r="B13" s="33"/>
      <c r="C13" s="33"/>
      <c r="D13" s="33"/>
      <c r="E13" s="33"/>
      <c r="F13" s="23" t="s">
        <v>125</v>
      </c>
      <c r="G13">
        <v>122.52</v>
      </c>
      <c r="H13" s="33"/>
      <c r="I13" s="33"/>
      <c r="J13" s="33"/>
      <c r="K13" s="33"/>
      <c r="L13" s="33"/>
      <c r="M13" s="33"/>
      <c r="N13" s="33"/>
      <c r="O13" s="33"/>
      <c r="P13" s="33"/>
      <c r="Q13" s="33"/>
      <c r="R13" s="33"/>
    </row>
    <row r="14" spans="1:18" x14ac:dyDescent="0.35">
      <c r="A14" s="33"/>
      <c r="B14" s="33"/>
      <c r="C14" s="33"/>
      <c r="D14" s="33"/>
      <c r="E14" s="33"/>
      <c r="F14" s="23" t="s">
        <v>129</v>
      </c>
      <c r="G14">
        <v>97.75</v>
      </c>
      <c r="H14" s="33"/>
      <c r="I14" s="33"/>
      <c r="J14" s="33"/>
      <c r="K14" s="33"/>
      <c r="L14" s="33"/>
      <c r="M14" s="33"/>
      <c r="N14" s="33"/>
      <c r="O14" s="33"/>
      <c r="P14" s="33"/>
      <c r="Q14" s="33"/>
      <c r="R14" s="33"/>
    </row>
    <row r="15" spans="1:18" x14ac:dyDescent="0.35">
      <c r="A15" s="33"/>
      <c r="B15" s="33"/>
      <c r="C15" s="33"/>
      <c r="D15" s="33"/>
      <c r="E15" s="33"/>
      <c r="F15" s="23" t="s">
        <v>155</v>
      </c>
      <c r="G15">
        <v>41.76</v>
      </c>
      <c r="H15" s="33"/>
      <c r="I15" s="33"/>
      <c r="J15" s="33"/>
      <c r="K15" s="33"/>
      <c r="L15" s="33"/>
      <c r="M15" s="33"/>
      <c r="N15" s="33"/>
      <c r="O15" s="33"/>
      <c r="P15" s="33"/>
      <c r="Q15" s="33"/>
      <c r="R15" s="33"/>
    </row>
    <row r="16" spans="1:18" x14ac:dyDescent="0.35">
      <c r="A16" s="33"/>
      <c r="B16" s="33"/>
      <c r="C16" s="33"/>
      <c r="D16" s="33"/>
      <c r="E16" s="33"/>
      <c r="F16" s="23" t="s">
        <v>130</v>
      </c>
      <c r="G16">
        <v>13.01033</v>
      </c>
      <c r="H16" s="33"/>
      <c r="I16" s="33"/>
      <c r="J16" s="33"/>
      <c r="K16" s="33"/>
      <c r="L16" s="33"/>
      <c r="M16" s="33"/>
      <c r="N16" s="33"/>
      <c r="O16" s="33"/>
      <c r="P16" s="33"/>
      <c r="Q16" s="33"/>
      <c r="R16" s="33"/>
    </row>
    <row r="17" spans="1:18" x14ac:dyDescent="0.35">
      <c r="A17" s="33"/>
      <c r="B17" s="33"/>
      <c r="C17" s="33"/>
      <c r="D17" s="33"/>
      <c r="E17" s="33"/>
      <c r="F17" s="23" t="s">
        <v>154</v>
      </c>
      <c r="G17">
        <v>6.4205220171078672</v>
      </c>
      <c r="H17" s="33"/>
      <c r="I17" s="33"/>
      <c r="J17" s="33"/>
      <c r="K17" s="33"/>
      <c r="L17" s="33"/>
      <c r="M17" s="33"/>
      <c r="N17" s="33"/>
      <c r="O17" s="33"/>
      <c r="P17" s="33"/>
      <c r="Q17" s="33"/>
      <c r="R17" s="33"/>
    </row>
    <row r="18" spans="1:18" x14ac:dyDescent="0.35">
      <c r="A18" s="33"/>
      <c r="B18" s="33"/>
      <c r="C18" s="33"/>
      <c r="D18" s="33"/>
      <c r="E18" s="33"/>
      <c r="F18" s="23" t="s">
        <v>153</v>
      </c>
      <c r="G18">
        <v>858.15673379038401</v>
      </c>
      <c r="H18" s="33"/>
      <c r="I18" s="33"/>
      <c r="J18" s="33"/>
      <c r="K18" s="33"/>
      <c r="L18" s="33"/>
      <c r="M18" s="33"/>
      <c r="N18" s="33"/>
      <c r="O18" s="33"/>
      <c r="P18" s="33"/>
      <c r="Q18" s="33"/>
      <c r="R18" s="33"/>
    </row>
    <row r="19" spans="1:18" x14ac:dyDescent="0.35">
      <c r="A19" s="33"/>
      <c r="B19" s="33"/>
      <c r="C19" s="33"/>
      <c r="D19" s="33"/>
      <c r="E19" s="33"/>
      <c r="F19" s="33"/>
      <c r="G19" s="33"/>
      <c r="H19" s="33"/>
      <c r="I19" s="33"/>
      <c r="J19" s="33"/>
      <c r="K19" s="33"/>
      <c r="L19" s="33"/>
      <c r="M19" s="33"/>
      <c r="N19" s="33"/>
      <c r="O19" s="33"/>
      <c r="P19" s="33"/>
      <c r="Q19" s="33"/>
      <c r="R19" s="33"/>
    </row>
    <row r="20" spans="1:18" x14ac:dyDescent="0.35">
      <c r="A20" s="33"/>
      <c r="B20" s="33"/>
      <c r="C20" s="33"/>
      <c r="D20" s="33"/>
      <c r="E20" s="33"/>
      <c r="F20" s="33"/>
      <c r="G20" s="33"/>
      <c r="H20" s="33"/>
      <c r="I20" s="33"/>
      <c r="J20" s="33"/>
      <c r="K20" s="33"/>
      <c r="L20" s="33"/>
      <c r="M20" s="33"/>
      <c r="N20" s="33"/>
      <c r="O20" s="33"/>
      <c r="P20" s="33"/>
      <c r="Q20" s="33"/>
      <c r="R20" s="33"/>
    </row>
    <row r="21" spans="1:18" x14ac:dyDescent="0.35">
      <c r="A21" s="33"/>
      <c r="B21" s="33"/>
      <c r="C21" s="33"/>
      <c r="D21" s="33"/>
      <c r="E21" s="33"/>
      <c r="H21" s="33"/>
      <c r="I21" s="33"/>
      <c r="J21" s="33"/>
      <c r="K21" s="33"/>
      <c r="L21" s="33"/>
      <c r="M21" s="33"/>
      <c r="N21" s="33"/>
      <c r="P21" s="33"/>
      <c r="Q21" s="33"/>
      <c r="R21" s="33"/>
    </row>
    <row r="22" spans="1:18" x14ac:dyDescent="0.35">
      <c r="A22" s="33"/>
      <c r="B22" s="33"/>
      <c r="C22" s="33"/>
      <c r="D22" s="33"/>
      <c r="E22" s="33"/>
      <c r="H22" s="33"/>
      <c r="I22" s="33"/>
      <c r="J22" s="33"/>
      <c r="K22" s="33"/>
      <c r="L22" s="34"/>
      <c r="M22" s="34"/>
      <c r="N22" s="34"/>
      <c r="O22" s="24"/>
      <c r="P22" s="34"/>
      <c r="Q22" s="34"/>
      <c r="R22" s="33"/>
    </row>
    <row r="23" spans="1:18" x14ac:dyDescent="0.35">
      <c r="A23" s="33"/>
      <c r="B23" s="33"/>
      <c r="C23" s="33"/>
      <c r="D23" s="33"/>
      <c r="E23" s="33"/>
      <c r="H23" s="33"/>
      <c r="I23" s="33"/>
      <c r="J23" s="33"/>
      <c r="K23" s="33"/>
      <c r="L23" s="33"/>
      <c r="M23" s="33"/>
      <c r="N23" s="33"/>
      <c r="P23" s="33"/>
      <c r="Q23" s="33"/>
      <c r="R23" s="33"/>
    </row>
    <row r="24" spans="1:18" x14ac:dyDescent="0.35">
      <c r="A24" s="33"/>
      <c r="B24" s="33"/>
      <c r="C24" s="33"/>
      <c r="D24" s="33"/>
      <c r="E24" s="33"/>
      <c r="H24" s="33"/>
      <c r="I24" s="41"/>
      <c r="J24" s="41"/>
      <c r="K24" s="41"/>
      <c r="L24" s="41"/>
      <c r="M24" s="41"/>
      <c r="N24" s="41"/>
      <c r="P24" s="33"/>
      <c r="Q24" s="33"/>
      <c r="R24" s="33"/>
    </row>
    <row r="25" spans="1:18" x14ac:dyDescent="0.35">
      <c r="A25" s="33"/>
      <c r="B25" s="33"/>
      <c r="C25" s="33"/>
      <c r="D25" s="33"/>
      <c r="E25" s="33"/>
      <c r="H25" s="33"/>
      <c r="I25" s="33"/>
      <c r="J25" s="33"/>
      <c r="K25" s="33"/>
      <c r="L25" s="33"/>
      <c r="M25" s="33"/>
      <c r="N25" s="33"/>
      <c r="P25" s="33"/>
      <c r="Q25" s="33"/>
      <c r="R25" s="33"/>
    </row>
    <row r="26" spans="1:18" x14ac:dyDescent="0.35">
      <c r="A26" s="33"/>
      <c r="B26" s="33"/>
      <c r="C26" s="33"/>
      <c r="D26" s="33"/>
      <c r="E26" s="33"/>
      <c r="H26" s="33"/>
      <c r="I26" s="33"/>
      <c r="J26" s="33"/>
      <c r="K26" s="33"/>
      <c r="L26" s="33"/>
      <c r="M26" s="33"/>
      <c r="N26" s="33"/>
      <c r="P26" s="31"/>
      <c r="Q26" s="33"/>
      <c r="R26" s="33"/>
    </row>
    <row r="27" spans="1:18" x14ac:dyDescent="0.35">
      <c r="A27" s="33"/>
      <c r="B27" s="33"/>
      <c r="C27" s="33"/>
      <c r="D27" s="33"/>
      <c r="E27" s="33"/>
      <c r="H27" s="33"/>
      <c r="I27" s="33"/>
      <c r="J27" s="33"/>
      <c r="K27" s="33"/>
      <c r="L27" s="33"/>
      <c r="M27" s="33"/>
      <c r="N27" s="33"/>
      <c r="P27" s="31"/>
      <c r="Q27" s="33"/>
      <c r="R27" s="33"/>
    </row>
    <row r="28" spans="1:18" x14ac:dyDescent="0.35">
      <c r="A28" s="33"/>
      <c r="B28" s="33"/>
      <c r="C28" s="33"/>
      <c r="D28" s="33"/>
      <c r="E28" s="33"/>
      <c r="H28" s="33"/>
      <c r="I28" s="33"/>
      <c r="J28" s="33"/>
      <c r="K28" s="33"/>
      <c r="L28" s="33"/>
      <c r="M28" s="33"/>
      <c r="N28" s="33"/>
      <c r="P28" s="31"/>
      <c r="Q28" s="33"/>
      <c r="R28" s="33"/>
    </row>
    <row r="29" spans="1:18" x14ac:dyDescent="0.35">
      <c r="A29" s="33"/>
      <c r="B29" s="33"/>
      <c r="C29" s="33"/>
      <c r="D29" s="33"/>
      <c r="E29" s="33"/>
      <c r="H29" s="33"/>
      <c r="I29" s="33"/>
      <c r="J29" s="33"/>
      <c r="K29" s="33"/>
      <c r="L29" s="33"/>
      <c r="M29" s="33"/>
      <c r="N29" s="33"/>
      <c r="P29" s="31"/>
      <c r="Q29" s="33"/>
      <c r="R29" s="33"/>
    </row>
    <row r="30" spans="1:18" x14ac:dyDescent="0.35">
      <c r="A30" s="33"/>
      <c r="B30" s="33"/>
      <c r="C30" s="33"/>
      <c r="D30" s="33"/>
      <c r="E30" s="33"/>
      <c r="H30" s="33"/>
      <c r="I30" s="33"/>
      <c r="J30" s="33"/>
      <c r="K30" s="33"/>
      <c r="L30" s="33"/>
      <c r="M30" s="33"/>
      <c r="N30" s="33"/>
      <c r="P30" s="31"/>
      <c r="Q30" s="33"/>
      <c r="R30" s="33"/>
    </row>
    <row r="31" spans="1:18" x14ac:dyDescent="0.35">
      <c r="A31" s="33"/>
      <c r="B31" s="33"/>
      <c r="C31" s="33"/>
      <c r="D31" s="33"/>
      <c r="E31" s="33"/>
      <c r="H31" s="33"/>
      <c r="I31" s="33"/>
      <c r="J31" s="33"/>
      <c r="K31" s="33"/>
      <c r="L31" s="33"/>
      <c r="M31" s="33"/>
      <c r="N31" s="33"/>
      <c r="P31" s="31"/>
      <c r="Q31" s="33"/>
      <c r="R31" s="33"/>
    </row>
    <row r="32" spans="1:18" x14ac:dyDescent="0.35">
      <c r="A32" s="33"/>
      <c r="B32" s="33"/>
      <c r="C32" s="33"/>
      <c r="D32" s="33"/>
      <c r="E32" s="33"/>
      <c r="H32" s="33"/>
      <c r="I32" s="33"/>
      <c r="J32" s="33"/>
      <c r="K32" s="33"/>
      <c r="L32" s="33"/>
      <c r="M32" s="33"/>
      <c r="N32" s="33"/>
      <c r="P32" s="31"/>
      <c r="Q32" s="33"/>
      <c r="R32" s="33"/>
    </row>
    <row r="33" spans="1:18" x14ac:dyDescent="0.35">
      <c r="A33" s="33"/>
      <c r="B33" s="33"/>
      <c r="C33" s="33"/>
      <c r="D33" s="33"/>
      <c r="E33" s="33"/>
      <c r="H33" s="33"/>
      <c r="I33" s="33"/>
      <c r="J33" s="33"/>
      <c r="K33" s="33"/>
      <c r="L33" s="33"/>
      <c r="M33" s="33"/>
      <c r="N33" s="33"/>
      <c r="P33" s="31"/>
      <c r="Q33" s="33"/>
      <c r="R33" s="33"/>
    </row>
    <row r="34" spans="1:18" x14ac:dyDescent="0.35">
      <c r="A34" s="33"/>
      <c r="B34" s="33"/>
      <c r="C34" s="33"/>
      <c r="D34" s="33"/>
      <c r="E34" s="33"/>
      <c r="H34" s="33"/>
      <c r="I34" s="33"/>
      <c r="J34" s="33"/>
      <c r="K34" s="33"/>
      <c r="L34" s="33"/>
      <c r="M34" s="33"/>
      <c r="N34" s="33"/>
      <c r="P34" s="31"/>
      <c r="Q34" s="33"/>
      <c r="R34" s="33"/>
    </row>
    <row r="35" spans="1:18" x14ac:dyDescent="0.35">
      <c r="A35" s="33"/>
      <c r="B35" s="33"/>
      <c r="C35" s="33"/>
      <c r="D35" s="33"/>
      <c r="E35" s="33"/>
      <c r="H35" s="33"/>
      <c r="I35" s="33"/>
      <c r="J35" s="33"/>
      <c r="K35" s="33"/>
      <c r="L35" s="33"/>
      <c r="M35" s="33"/>
      <c r="N35" s="33"/>
      <c r="P35" s="31"/>
      <c r="Q35" s="33"/>
      <c r="R35" s="33"/>
    </row>
    <row r="36" spans="1:18" x14ac:dyDescent="0.35">
      <c r="A36" s="33"/>
      <c r="B36" s="33"/>
      <c r="C36" s="33"/>
      <c r="D36" s="33"/>
      <c r="E36" s="33"/>
      <c r="H36" s="33"/>
      <c r="I36" s="33"/>
      <c r="J36" s="33"/>
      <c r="K36" s="33"/>
      <c r="L36" s="33"/>
      <c r="M36" s="33"/>
      <c r="N36" s="33"/>
      <c r="P36" s="31"/>
      <c r="Q36" s="33"/>
      <c r="R36" s="33"/>
    </row>
    <row r="37" spans="1:18" x14ac:dyDescent="0.35">
      <c r="A37" s="33"/>
      <c r="B37" s="33"/>
      <c r="C37" s="33"/>
      <c r="D37" s="33"/>
      <c r="E37" s="33"/>
      <c r="F37" s="33"/>
      <c r="G37" s="33"/>
      <c r="H37" s="33"/>
      <c r="I37" s="33"/>
      <c r="J37" s="33"/>
      <c r="K37" s="33"/>
      <c r="L37" s="33"/>
      <c r="M37" s="33"/>
      <c r="N37" s="33"/>
      <c r="O37" s="33"/>
      <c r="P37" s="33"/>
      <c r="Q37" s="33"/>
      <c r="R37" s="33"/>
    </row>
    <row r="38" spans="1:18" x14ac:dyDescent="0.35">
      <c r="A38" s="33"/>
      <c r="B38" s="33"/>
      <c r="C38" s="33"/>
      <c r="D38" s="33"/>
      <c r="E38" s="33"/>
      <c r="F38" s="33"/>
      <c r="G38" s="33"/>
      <c r="H38" s="33"/>
      <c r="I38" s="33"/>
      <c r="J38" s="33"/>
      <c r="K38" s="33"/>
      <c r="L38" s="33"/>
      <c r="M38" s="33"/>
      <c r="N38" s="33"/>
      <c r="O38" s="33"/>
      <c r="P38" s="33"/>
      <c r="Q38" s="33"/>
      <c r="R38" s="33"/>
    </row>
    <row r="39" spans="1:18" x14ac:dyDescent="0.35">
      <c r="A39" s="33"/>
      <c r="B39" s="33"/>
      <c r="C39" s="33"/>
      <c r="D39" s="33"/>
      <c r="E39" s="33"/>
      <c r="F39" s="33"/>
      <c r="G39" s="33"/>
      <c r="H39" s="33"/>
      <c r="I39" s="33"/>
      <c r="J39" s="33"/>
      <c r="K39" s="33"/>
      <c r="L39" s="33"/>
      <c r="M39" s="33"/>
      <c r="N39" s="33"/>
      <c r="O39" s="33"/>
      <c r="P39" s="33"/>
      <c r="Q39" s="33"/>
      <c r="R39" s="33"/>
    </row>
    <row r="40" spans="1:18" x14ac:dyDescent="0.35">
      <c r="A40" s="33"/>
      <c r="B40" s="33"/>
      <c r="C40" s="33"/>
      <c r="D40" s="33"/>
      <c r="E40" s="33"/>
      <c r="F40" s="33"/>
      <c r="G40" s="33"/>
      <c r="H40" s="33"/>
      <c r="I40" s="33"/>
      <c r="J40" s="33"/>
      <c r="K40" s="33"/>
      <c r="L40" s="33"/>
      <c r="M40" s="33"/>
      <c r="N40" s="33"/>
      <c r="O40" s="33"/>
      <c r="P40" s="33"/>
      <c r="Q40" s="33"/>
      <c r="R40" s="33"/>
    </row>
  </sheetData>
  <mergeCells count="3">
    <mergeCell ref="A1:F1"/>
    <mergeCell ref="A2:F2"/>
    <mergeCell ref="I24:N24"/>
  </mergeCells>
  <dataValidations count="2">
    <dataValidation allowBlank="1" showInputMessage="1" showErrorMessage="1" promptTitle="Scope 2" prompt="*Location-based and Market-based methods represent two different approaches to calculating the same purchased electricity and should not be added together" sqref="J8:K8" xr:uid="{570913EF-9ACF-40F6-97D5-1D89674EE98A}"/>
    <dataValidation allowBlank="1" showInputMessage="1" showErrorMessage="1" promptTitle="Emissions Reduction Scenario" prompt="Hypothetical 20% GHG emissions reductions targeted towards the three most largest emissions sources: Gasoline trucks, Aluminum and Natural Gas Boiler" sqref="M8:N8" xr:uid="{C53905BA-C681-4836-AA1A-3813AC2D149D}"/>
  </dataValidations>
  <pageMargins left="0.7" right="0.7" top="0.75" bottom="0.75" header="0.3" footer="0.3"/>
  <pageSetup orientation="portrait" r:id="rId3"/>
  <drawing r:id="rId4"/>
  <tableParts count="3">
    <tablePart r:id="rId5"/>
    <tablePart r:id="rId6"/>
    <tablePart r:id="rId7"/>
  </tableParts>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Activity Data</vt:lpstr>
      <vt:lpstr>Emission Factors</vt:lpstr>
      <vt:lpstr>Assumptions</vt:lpstr>
      <vt:lpstr>Scope 1</vt:lpstr>
      <vt:lpstr>Scope 2</vt:lpstr>
      <vt:lpstr>Scope 3 </vt:lpstr>
      <vt:lpstr>GHG Inventory 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MyPC001</dc:creator>
  <cp:lastModifiedBy>Patel, Dhruva</cp:lastModifiedBy>
  <dcterms:created xsi:type="dcterms:W3CDTF">2015-06-05T18:17:20Z</dcterms:created>
  <dcterms:modified xsi:type="dcterms:W3CDTF">2026-09-26T01:07:53Z</dcterms:modified>
</cp:coreProperties>
</file>